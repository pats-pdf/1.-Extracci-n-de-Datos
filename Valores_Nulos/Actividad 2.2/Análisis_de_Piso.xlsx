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fre\OneDrive\Documentos\Tec de Monterrey\2026 Semestre B_Tercio _1\Plataformas de analítica de negocios para organizaciones\"/>
    </mc:Choice>
  </mc:AlternateContent>
  <xr:revisionPtr revIDLastSave="0" documentId="8_{F1E07822-85FF-48B8-9D60-8199BE7A318F}" xr6:coauthVersionLast="47" xr6:coauthVersionMax="47" xr10:uidLastSave="{00000000-0000-0000-0000-000000000000}"/>
  <bookViews>
    <workbookView xWindow="-120" yWindow="-120" windowWidth="20730" windowHeight="11040" xr2:uid="{9D25D404-AABD-460B-B7D6-2201FEA92FC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5" i="1" l="1"/>
  <c r="AK2" i="1"/>
  <c r="AJ2" i="1"/>
</calcChain>
</file>

<file path=xl/sharedStrings.xml><?xml version="1.0" encoding="utf-8"?>
<sst xmlns="http://schemas.openxmlformats.org/spreadsheetml/2006/main" count="263" uniqueCount="122">
  <si>
    <t>Leads Piso 2024</t>
  </si>
  <si>
    <t>Leads Piso 2025</t>
  </si>
  <si>
    <t xml:space="preserve">Total </t>
  </si>
  <si>
    <t>Total Ajustado</t>
  </si>
  <si>
    <t xml:space="preserve">Raking </t>
  </si>
  <si>
    <t>Raking ajustado</t>
  </si>
  <si>
    <t>Ventas Piso 2024</t>
  </si>
  <si>
    <t>Ventas Piso 2025</t>
  </si>
  <si>
    <t xml:space="preserve">* se actualiza al reportar en Sale-U </t>
  </si>
  <si>
    <t xml:space="preserve">Factor minimo mejor vendedor </t>
  </si>
  <si>
    <t>Leads Prom X Mes</t>
  </si>
  <si>
    <t xml:space="preserve">T. Ventas Piso </t>
  </si>
  <si>
    <t xml:space="preserve">Factor   </t>
  </si>
  <si>
    <t xml:space="preserve">Total de Ventas Historicas </t>
  </si>
  <si>
    <t>RAKING VENTAS</t>
  </si>
  <si>
    <t xml:space="preserve">Dependencia de Piso </t>
  </si>
  <si>
    <t>Historico de PDM</t>
  </si>
  <si>
    <t>Historico de SDC</t>
  </si>
  <si>
    <t>Conversion PDM</t>
  </si>
  <si>
    <t>Conversion SDC</t>
  </si>
  <si>
    <t>Factor  PDM</t>
  </si>
  <si>
    <t>Factor  SDC</t>
  </si>
  <si>
    <t>Raking PDM</t>
  </si>
  <si>
    <t>Raking SDC</t>
  </si>
  <si>
    <t xml:space="preserve">Asesor 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</si>
  <si>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</si>
  <si>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</si>
  <si>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</si>
  <si>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</si>
  <si>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</si>
  <si>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</si>
  <si>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</si>
  <si>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</si>
  <si>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</si>
  <si>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</si>
  <si>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</si>
  <si>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</si>
  <si>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 </t>
  </si>
  <si>
    <t xml:space="preserve">May </t>
  </si>
  <si>
    <t>Junio</t>
  </si>
  <si>
    <t>ABIGAIL</t>
  </si>
  <si>
    <t>1.00</t>
  </si>
  <si>
    <t>5.00</t>
  </si>
  <si>
    <t>ALAN GONZALES</t>
  </si>
  <si>
    <t xml:space="preserve"> </t>
  </si>
  <si>
    <t>3.28</t>
  </si>
  <si>
    <t>2.22</t>
  </si>
  <si>
    <t>ALICIA LEDESMA</t>
  </si>
  <si>
    <t>0.00</t>
  </si>
  <si>
    <t>AURELIO FELIPE</t>
  </si>
  <si>
    <t>3.50</t>
  </si>
  <si>
    <t>3.88</t>
  </si>
  <si>
    <t>CARLOS ALBERTO NIETO</t>
  </si>
  <si>
    <t>4.27</t>
  </si>
  <si>
    <t>2.00</t>
  </si>
  <si>
    <t xml:space="preserve">CARLOS TEXIS </t>
  </si>
  <si>
    <t>5.25</t>
  </si>
  <si>
    <t>6.50</t>
  </si>
  <si>
    <t>CARLOS MANUEL CARMONA</t>
  </si>
  <si>
    <t xml:space="preserve">CINTYA </t>
  </si>
  <si>
    <t xml:space="preserve">CLAUDIA GALVAN </t>
  </si>
  <si>
    <t>12.50</t>
  </si>
  <si>
    <t>11.00</t>
  </si>
  <si>
    <t>CASA</t>
  </si>
  <si>
    <t>0.95</t>
  </si>
  <si>
    <t>1.52</t>
  </si>
  <si>
    <t>DANIEL DE LEON CANDIA</t>
  </si>
  <si>
    <t>3.00</t>
  </si>
  <si>
    <t>2.08</t>
  </si>
  <si>
    <t>DAVID JIMENEZ</t>
  </si>
  <si>
    <t>19.00</t>
  </si>
  <si>
    <t>Demo Vendedor</t>
  </si>
  <si>
    <t>-</t>
  </si>
  <si>
    <t>GUADALUPE PEREZ</t>
  </si>
  <si>
    <t>SEBASTIAN BENHUMEA</t>
  </si>
  <si>
    <t xml:space="preserve">USUARIO DE BDC Y CASA </t>
  </si>
  <si>
    <t>1.55</t>
  </si>
  <si>
    <t>JAIME GONZALEZ</t>
  </si>
  <si>
    <t>1.36</t>
  </si>
  <si>
    <t>2.44</t>
  </si>
  <si>
    <t>JESUS SERRANO</t>
  </si>
  <si>
    <t>9.00</t>
  </si>
  <si>
    <t>JOSE CARLOS  ZENTENO</t>
  </si>
  <si>
    <t>JOSE EDUARDO  PARADA</t>
  </si>
  <si>
    <t>JOSE MANUEL  LOPEZ</t>
  </si>
  <si>
    <t>0.33</t>
  </si>
  <si>
    <t>1.67</t>
  </si>
  <si>
    <t>JOSE MANUEL LOPEZ</t>
  </si>
  <si>
    <t>JOSETTE RAMON</t>
  </si>
  <si>
    <t>3.06</t>
  </si>
  <si>
    <t xml:space="preserve">LAURA LOPEZ </t>
  </si>
  <si>
    <t>LIZBETH GOMEZ GONZALEZ</t>
  </si>
  <si>
    <t xml:space="preserve">LUIS ALBERTO  RODRIGUEZ </t>
  </si>
  <si>
    <t>LUISA LBERTO  GOMEZ</t>
  </si>
  <si>
    <t>4.50</t>
  </si>
  <si>
    <t xml:space="preserve">MARIA GUADALUPE PALACIOS </t>
  </si>
  <si>
    <t>3.43</t>
  </si>
  <si>
    <t xml:space="preserve">MAURICIO ALFREDO </t>
  </si>
  <si>
    <t>3.63</t>
  </si>
  <si>
    <t xml:space="preserve">MIGUEL ANGEL SONDEREGGER </t>
  </si>
  <si>
    <t>4.18</t>
  </si>
  <si>
    <t>2.36</t>
  </si>
  <si>
    <t xml:space="preserve">MONICA GISELA FLORES </t>
  </si>
  <si>
    <t xml:space="preserve">NANCY OLASCOAGA </t>
  </si>
  <si>
    <t>8.00</t>
  </si>
  <si>
    <t>9.17</t>
  </si>
  <si>
    <t>NAYELI MONTES DEOCA</t>
  </si>
  <si>
    <t>4.00</t>
  </si>
  <si>
    <t>OSCAR ALONSO</t>
  </si>
  <si>
    <t>4.83</t>
  </si>
  <si>
    <t>6.00</t>
  </si>
  <si>
    <t>PAUL  ROSAS IRIGOYIN</t>
  </si>
  <si>
    <t>0.83</t>
  </si>
  <si>
    <t>1.50</t>
  </si>
  <si>
    <t>PAUL ROSAS</t>
  </si>
  <si>
    <t xml:space="preserve">PEDRO GONZALES </t>
  </si>
  <si>
    <t>3.42</t>
  </si>
  <si>
    <t>RICARDO SILVA HERAS</t>
  </si>
  <si>
    <t>sys_competition</t>
  </si>
  <si>
    <t>VICTOR MANUEL SANCHEZ ARROYO</t>
  </si>
  <si>
    <t>2.19</t>
  </si>
  <si>
    <t>2.71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</si>
</sst>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0"/>
      <color rgb="FFFFFFFF"/>
      <name val="Calibri"/>
      <family val="2"/>
    </font>
    <font>
      <sz val="9"/>
      <color rgb="FF000000"/>
      <name val="Calibri"/>
      <family val="2"/>
    </font>
    <font>
      <sz val="8"/>
      <color rgb="FFFF0000"/>
      <name val="Calibri"/>
      <family val="2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0CECE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70AD47"/>
        <bgColor rgb="FF000000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/>
    <xf numFmtId="0" fontId="3" fillId="3" borderId="0" xfId="0" applyFont="1" applyFill="1"/>
    <xf numFmtId="0" fontId="1" fillId="4" borderId="0" xfId="0" applyFont="1" applyFill="1"/>
    <xf numFmtId="0" fontId="4" fillId="4" borderId="0" xfId="0" applyFont="1" applyFill="1" applyAlignment="1">
      <alignment wrapText="1"/>
    </xf>
    <xf numFmtId="0" fontId="1" fillId="0" borderId="1" xfId="0" applyFont="1" applyBorder="1"/>
    <xf numFmtId="0" fontId="4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6" fillId="0" borderId="0" xfId="0" applyFont="1" applyAlignment="1">
      <alignment wrapText="1"/>
    </xf>
    <xf numFmtId="0" fontId="1" fillId="0" borderId="0" xfId="0" applyFont="1"/>
    <xf numFmtId="0" fontId="6" fillId="0" borderId="0" xfId="0" applyFont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8" fillId="0" borderId="0" xfId="0" applyFont="1"/>
    <xf numFmtId="0" fontId="7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4" fillId="5" borderId="17" xfId="0" applyFont="1" applyFill="1" applyBorder="1" applyAlignment="1">
      <alignment horizontal="center" vertical="center" wrapText="1"/>
    </xf>
    <xf numFmtId="0" fontId="1" fillId="0" borderId="18" xfId="0" applyFont="1" applyBorder="1"/>
    <xf numFmtId="0" fontId="1" fillId="0" borderId="19" xfId="0" applyFont="1" applyBorder="1"/>
    <xf numFmtId="9" fontId="1" fillId="0" borderId="0" xfId="0" applyNumberFormat="1" applyFont="1"/>
    <xf numFmtId="9" fontId="1" fillId="0" borderId="0" xfId="0" applyNumberFormat="1" applyFont="1" applyAlignment="1">
      <alignment horizontal="center"/>
    </xf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0" borderId="0" xfId="0" quotePrefix="1" applyFont="1"/>
    <xf numFmtId="0" fontId="1" fillId="2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D10F2-825A-4D0F-93E4-C7FC3D5E0EC5}">
  <dimension ref="A1:AY43"/>
  <sheetViews>
    <sheetView tabSelected="1" workbookViewId="0">
      <selection sqref="A1:AY43"/>
    </sheetView>
  </sheetViews>
  <sheetFormatPr baseColWidth="10" defaultRowHeight="15" x14ac:dyDescent="0.25"/>
  <sheetData>
    <row r="1" spans="1:51" ht="35.25" thickBot="1" x14ac:dyDescent="0.3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3" t="s">
        <v>1</v>
      </c>
      <c r="N1" s="3"/>
      <c r="O1" s="3"/>
      <c r="P1" s="3"/>
      <c r="Q1" s="4" t="s">
        <v>2</v>
      </c>
      <c r="R1" s="5" t="s">
        <v>3</v>
      </c>
      <c r="S1" s="6" t="s">
        <v>4</v>
      </c>
      <c r="T1" s="7" t="s">
        <v>5</v>
      </c>
      <c r="U1" s="8" t="s">
        <v>6</v>
      </c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9" t="s">
        <v>7</v>
      </c>
      <c r="AH1" s="9"/>
      <c r="AI1" s="9"/>
      <c r="AJ1" s="10"/>
      <c r="AK1" s="11" t="s">
        <v>8</v>
      </c>
      <c r="AL1" s="12"/>
      <c r="AM1" s="12"/>
      <c r="AN1" s="1"/>
      <c r="AO1" s="1">
        <v>263</v>
      </c>
      <c r="AP1" s="1"/>
      <c r="AQ1" s="1"/>
      <c r="AR1" s="13">
        <v>979</v>
      </c>
      <c r="AS1" s="13">
        <v>811</v>
      </c>
      <c r="AT1" s="1"/>
      <c r="AU1" s="1"/>
      <c r="AV1" s="12" t="s">
        <v>9</v>
      </c>
      <c r="AW1" s="12" t="s">
        <v>9</v>
      </c>
      <c r="AX1" s="1"/>
      <c r="AY1" s="1"/>
    </row>
    <row r="2" spans="1:51" ht="15.75" thickBot="1" x14ac:dyDescent="0.3">
      <c r="A2" s="1"/>
      <c r="B2" s="14">
        <v>459</v>
      </c>
      <c r="C2" s="15">
        <v>27</v>
      </c>
      <c r="D2" s="15">
        <v>95</v>
      </c>
      <c r="E2" s="15">
        <v>110</v>
      </c>
      <c r="F2" s="15">
        <v>65</v>
      </c>
      <c r="G2" s="15">
        <v>107</v>
      </c>
      <c r="H2" s="15">
        <v>88</v>
      </c>
      <c r="I2" s="15">
        <v>59</v>
      </c>
      <c r="J2" s="15">
        <v>40</v>
      </c>
      <c r="K2" s="15">
        <v>53</v>
      </c>
      <c r="L2" s="15">
        <v>67</v>
      </c>
      <c r="M2" s="15">
        <v>71</v>
      </c>
      <c r="N2" s="15">
        <v>61</v>
      </c>
      <c r="O2" s="15">
        <v>80</v>
      </c>
      <c r="P2" s="16">
        <v>35</v>
      </c>
      <c r="Q2" s="16">
        <v>1417</v>
      </c>
      <c r="R2" s="16">
        <v>661</v>
      </c>
      <c r="S2" s="13"/>
      <c r="T2" s="13"/>
      <c r="U2" s="17">
        <v>9</v>
      </c>
      <c r="V2" s="18">
        <v>5</v>
      </c>
      <c r="W2" s="18">
        <v>9</v>
      </c>
      <c r="X2" s="18">
        <v>1</v>
      </c>
      <c r="Y2" s="18">
        <v>3</v>
      </c>
      <c r="Z2" s="18">
        <v>10</v>
      </c>
      <c r="AA2" s="18">
        <v>9</v>
      </c>
      <c r="AB2" s="18">
        <v>6</v>
      </c>
      <c r="AC2" s="18">
        <v>3</v>
      </c>
      <c r="AD2" s="18">
        <v>11</v>
      </c>
      <c r="AE2" s="18">
        <v>8</v>
      </c>
      <c r="AF2" s="18">
        <v>10</v>
      </c>
      <c r="AG2" s="18">
        <v>12</v>
      </c>
      <c r="AH2" s="18">
        <v>9</v>
      </c>
      <c r="AI2" s="13">
        <v>4</v>
      </c>
      <c r="AJ2" s="19">
        <f>SUM(AJ4:AJ43)</f>
        <v>12</v>
      </c>
      <c r="AK2" s="20">
        <f>SUM(AK4:AK43)</f>
        <v>3</v>
      </c>
      <c r="AL2" s="21" t="s">
        <v>10</v>
      </c>
      <c r="AM2" s="21" t="s">
        <v>11</v>
      </c>
      <c r="AN2" s="22" t="s">
        <v>12</v>
      </c>
      <c r="AO2" s="23" t="s">
        <v>13</v>
      </c>
      <c r="AP2" s="24" t="s">
        <v>14</v>
      </c>
      <c r="AQ2" s="25" t="s">
        <v>15</v>
      </c>
      <c r="AR2" s="25" t="s">
        <v>16</v>
      </c>
      <c r="AS2" s="25" t="s">
        <v>17</v>
      </c>
      <c r="AT2" s="25" t="s">
        <v>18</v>
      </c>
      <c r="AU2" s="25" t="s">
        <v>19</v>
      </c>
      <c r="AV2" s="25" t="s">
        <v>20</v>
      </c>
      <c r="AW2" s="25" t="s">
        <v>21</v>
      </c>
      <c r="AX2" s="26" t="s">
        <v>22</v>
      </c>
      <c r="AY2" s="26" t="s">
        <v>23</v>
      </c>
    </row>
    <row r="3" spans="1:51" ht="15.75" thickBot="1" x14ac:dyDescent="0.3">
      <c r="A3" s="27" t="s">
        <v>24</v>
      </c>
      <c r="B3" s="28" t="s">
        <v>25</v>
      </c>
      <c r="C3" s="29" t="s">
        <v>26</v>
      </c>
      <c r="D3" s="29" t="s">
        <v>27</v>
      </c>
      <c r="E3" s="29" t="s">
        <v>28</v>
      </c>
      <c r="F3" s="29" t="s">
        <v>29</v>
      </c>
      <c r="G3" s="29" t="s">
        <v>30</v>
      </c>
      <c r="H3" s="29" t="s">
        <v>31</v>
      </c>
      <c r="I3" s="29" t="s">
        <v>32</v>
      </c>
      <c r="J3" s="29" t="s">
        <v>33</v>
      </c>
      <c r="K3" s="29" t="s">
        <v>34</v>
      </c>
      <c r="L3" s="29" t="s">
        <v>35</v>
      </c>
      <c r="M3" s="29" t="s">
        <v>36</v>
      </c>
      <c r="N3" s="29" t="s">
        <v>25</v>
      </c>
      <c r="O3" s="29" t="s">
        <v>26</v>
      </c>
      <c r="P3" s="29" t="s">
        <v>27</v>
      </c>
      <c r="Q3" s="29" t="s">
        <v>37</v>
      </c>
      <c r="R3" s="29" t="s">
        <v>37</v>
      </c>
      <c r="S3" s="1"/>
      <c r="T3" s="1"/>
      <c r="U3" s="28" t="s">
        <v>25</v>
      </c>
      <c r="V3" s="29" t="s">
        <v>26</v>
      </c>
      <c r="W3" s="29" t="s">
        <v>27</v>
      </c>
      <c r="X3" s="29" t="s">
        <v>28</v>
      </c>
      <c r="Y3" s="29" t="s">
        <v>29</v>
      </c>
      <c r="Z3" s="29" t="s">
        <v>30</v>
      </c>
      <c r="AA3" s="29" t="s">
        <v>31</v>
      </c>
      <c r="AB3" s="29" t="s">
        <v>32</v>
      </c>
      <c r="AC3" s="29" t="s">
        <v>33</v>
      </c>
      <c r="AD3" s="29" t="s">
        <v>34</v>
      </c>
      <c r="AE3" s="29" t="s">
        <v>35</v>
      </c>
      <c r="AF3" s="29" t="s">
        <v>36</v>
      </c>
      <c r="AG3" s="30" t="s">
        <v>25</v>
      </c>
      <c r="AH3" s="31" t="s">
        <v>26</v>
      </c>
      <c r="AI3" s="32" t="s">
        <v>27</v>
      </c>
      <c r="AJ3" s="31" t="s">
        <v>38</v>
      </c>
      <c r="AK3" s="33" t="s">
        <v>39</v>
      </c>
      <c r="AL3" s="21"/>
      <c r="AM3" s="21"/>
      <c r="AN3" s="22"/>
      <c r="AO3" s="23"/>
      <c r="AP3" s="34"/>
      <c r="AQ3" s="25"/>
      <c r="AR3" s="25"/>
      <c r="AS3" s="25"/>
      <c r="AT3" s="25"/>
      <c r="AU3" s="25"/>
      <c r="AV3" s="25"/>
      <c r="AW3" s="25"/>
      <c r="AX3" s="26"/>
      <c r="AY3" s="26"/>
    </row>
    <row r="4" spans="1:51" x14ac:dyDescent="0.25">
      <c r="A4" s="1" t="s">
        <v>40</v>
      </c>
      <c r="B4" s="1">
        <v>23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>
        <v>23</v>
      </c>
      <c r="R4" s="1">
        <v>0</v>
      </c>
      <c r="S4" s="1">
        <v>17</v>
      </c>
      <c r="T4" s="1">
        <v>28</v>
      </c>
      <c r="U4" s="35" t="s">
        <v>37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 t="s">
        <v>37</v>
      </c>
      <c r="AJ4" s="1"/>
      <c r="AK4" s="36"/>
      <c r="AL4" s="1">
        <v>0</v>
      </c>
      <c r="AM4" s="1">
        <v>0</v>
      </c>
      <c r="AN4" s="37">
        <v>0</v>
      </c>
      <c r="AO4" s="1">
        <v>1</v>
      </c>
      <c r="AP4" s="1">
        <v>23</v>
      </c>
      <c r="AQ4" s="37">
        <v>0</v>
      </c>
      <c r="AR4" s="1">
        <v>1</v>
      </c>
      <c r="AS4" s="1">
        <v>5</v>
      </c>
      <c r="AT4" s="37">
        <v>1</v>
      </c>
      <c r="AU4" s="38">
        <v>0</v>
      </c>
      <c r="AV4" s="1" t="s">
        <v>41</v>
      </c>
      <c r="AW4" s="1" t="s">
        <v>42</v>
      </c>
      <c r="AX4" s="1">
        <v>1</v>
      </c>
      <c r="AY4" s="1">
        <v>20</v>
      </c>
    </row>
    <row r="5" spans="1:51" x14ac:dyDescent="0.25">
      <c r="A5" s="1" t="s">
        <v>43</v>
      </c>
      <c r="B5" s="1">
        <v>1</v>
      </c>
      <c r="C5" s="1"/>
      <c r="D5" s="1"/>
      <c r="E5" s="1"/>
      <c r="F5" s="1"/>
      <c r="G5" s="1"/>
      <c r="H5" s="1"/>
      <c r="I5" s="1" t="s">
        <v>44</v>
      </c>
      <c r="J5" s="1"/>
      <c r="K5" s="1">
        <v>1</v>
      </c>
      <c r="L5" s="1">
        <v>9</v>
      </c>
      <c r="M5" s="1">
        <v>15</v>
      </c>
      <c r="N5" s="1">
        <v>12</v>
      </c>
      <c r="O5" s="1">
        <v>19</v>
      </c>
      <c r="P5" s="1">
        <v>5</v>
      </c>
      <c r="Q5" s="1">
        <v>62</v>
      </c>
      <c r="R5" s="1">
        <v>61</v>
      </c>
      <c r="S5" s="1">
        <v>8</v>
      </c>
      <c r="T5" s="39">
        <v>3</v>
      </c>
      <c r="U5" s="35" t="s">
        <v>37</v>
      </c>
      <c r="V5" s="1"/>
      <c r="W5" s="1"/>
      <c r="X5" s="1"/>
      <c r="Y5" s="1"/>
      <c r="Z5" s="1"/>
      <c r="AA5" s="1"/>
      <c r="AB5" s="1"/>
      <c r="AC5" s="1"/>
      <c r="AD5" s="1">
        <v>1</v>
      </c>
      <c r="AE5" s="1">
        <v>2</v>
      </c>
      <c r="AF5" s="1">
        <v>4</v>
      </c>
      <c r="AG5" s="1">
        <v>1</v>
      </c>
      <c r="AH5" s="1">
        <v>2</v>
      </c>
      <c r="AI5" s="1">
        <v>1</v>
      </c>
      <c r="AJ5" s="1">
        <v>1</v>
      </c>
      <c r="AK5" s="36"/>
      <c r="AL5" s="1">
        <v>10</v>
      </c>
      <c r="AM5" s="1">
        <v>11</v>
      </c>
      <c r="AN5" s="37">
        <v>0.18</v>
      </c>
      <c r="AO5" s="1">
        <v>18</v>
      </c>
      <c r="AP5" s="1">
        <v>6</v>
      </c>
      <c r="AQ5" s="37">
        <v>0.61</v>
      </c>
      <c r="AR5" s="1">
        <v>59</v>
      </c>
      <c r="AS5" s="1">
        <v>40</v>
      </c>
      <c r="AT5" s="37">
        <v>0.31</v>
      </c>
      <c r="AU5" s="38">
        <v>0.02</v>
      </c>
      <c r="AV5" s="1" t="s">
        <v>45</v>
      </c>
      <c r="AW5" s="1" t="s">
        <v>46</v>
      </c>
      <c r="AX5" s="1">
        <v>7</v>
      </c>
      <c r="AY5" s="1">
        <v>10</v>
      </c>
    </row>
    <row r="6" spans="1:51" x14ac:dyDescent="0.25">
      <c r="A6" s="1" t="s">
        <v>47</v>
      </c>
      <c r="B6" s="1"/>
      <c r="C6" s="1"/>
      <c r="D6" s="1">
        <v>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>
        <v>1</v>
      </c>
      <c r="R6" s="1">
        <v>0</v>
      </c>
      <c r="S6" s="1">
        <v>38</v>
      </c>
      <c r="T6" s="1">
        <v>28</v>
      </c>
      <c r="U6" s="35" t="s">
        <v>37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 t="s">
        <v>37</v>
      </c>
      <c r="AJ6" s="1"/>
      <c r="AK6" s="36"/>
      <c r="AL6" s="1">
        <v>0</v>
      </c>
      <c r="AM6" s="1">
        <v>0</v>
      </c>
      <c r="AN6" s="37">
        <v>0</v>
      </c>
      <c r="AO6" s="1"/>
      <c r="AP6" s="1">
        <v>0</v>
      </c>
      <c r="AQ6" s="37">
        <v>0</v>
      </c>
      <c r="AR6" s="1">
        <v>1</v>
      </c>
      <c r="AS6" s="1">
        <v>1</v>
      </c>
      <c r="AT6" s="37">
        <v>0</v>
      </c>
      <c r="AU6" s="38">
        <v>0</v>
      </c>
      <c r="AV6" s="1" t="s">
        <v>48</v>
      </c>
      <c r="AW6" s="1" t="s">
        <v>48</v>
      </c>
      <c r="AX6" s="1"/>
      <c r="AY6" s="1"/>
    </row>
    <row r="7" spans="1:51" x14ac:dyDescent="0.25">
      <c r="A7" s="1" t="s">
        <v>49</v>
      </c>
      <c r="B7" s="1"/>
      <c r="C7" s="1"/>
      <c r="D7" s="1"/>
      <c r="E7" s="1"/>
      <c r="F7" s="1"/>
      <c r="G7" s="1"/>
      <c r="H7" s="1"/>
      <c r="I7" s="1">
        <v>1</v>
      </c>
      <c r="J7" s="1">
        <v>6</v>
      </c>
      <c r="K7" s="1"/>
      <c r="L7" s="1"/>
      <c r="M7" s="1"/>
      <c r="N7" s="1"/>
      <c r="O7" s="1">
        <v>20</v>
      </c>
      <c r="P7" s="1">
        <v>6</v>
      </c>
      <c r="Q7" s="1">
        <v>33</v>
      </c>
      <c r="R7" s="1">
        <v>33</v>
      </c>
      <c r="S7" s="1">
        <v>14</v>
      </c>
      <c r="T7" s="1">
        <v>8</v>
      </c>
      <c r="U7" s="35" t="s">
        <v>37</v>
      </c>
      <c r="V7" s="1"/>
      <c r="W7" s="1"/>
      <c r="X7" s="1"/>
      <c r="Y7" s="1"/>
      <c r="Z7" s="1"/>
      <c r="AA7" s="1"/>
      <c r="AB7" s="1"/>
      <c r="AC7" s="1">
        <v>2</v>
      </c>
      <c r="AD7" s="1"/>
      <c r="AE7" s="1"/>
      <c r="AF7" s="1"/>
      <c r="AG7" s="1"/>
      <c r="AH7" s="1">
        <v>1</v>
      </c>
      <c r="AI7" s="1" t="s">
        <v>37</v>
      </c>
      <c r="AJ7" s="1">
        <v>3</v>
      </c>
      <c r="AK7" s="36">
        <v>2</v>
      </c>
      <c r="AL7" s="1">
        <v>8</v>
      </c>
      <c r="AM7" s="1">
        <v>3</v>
      </c>
      <c r="AN7" s="37">
        <v>0.09</v>
      </c>
      <c r="AO7" s="1">
        <v>8</v>
      </c>
      <c r="AP7" s="1">
        <v>11</v>
      </c>
      <c r="AQ7" s="37">
        <v>0.38</v>
      </c>
      <c r="AR7" s="1">
        <v>28</v>
      </c>
      <c r="AS7" s="1">
        <v>31</v>
      </c>
      <c r="AT7" s="37">
        <v>0.28999999999999998</v>
      </c>
      <c r="AU7" s="38">
        <v>0.01</v>
      </c>
      <c r="AV7" s="1" t="s">
        <v>50</v>
      </c>
      <c r="AW7" s="1" t="s">
        <v>51</v>
      </c>
      <c r="AX7" s="1">
        <v>9</v>
      </c>
      <c r="AY7" s="1">
        <v>18</v>
      </c>
    </row>
    <row r="8" spans="1:51" x14ac:dyDescent="0.25">
      <c r="A8" s="1" t="s">
        <v>52</v>
      </c>
      <c r="B8" s="1"/>
      <c r="C8" s="1"/>
      <c r="D8" s="1"/>
      <c r="E8" s="1">
        <v>2</v>
      </c>
      <c r="F8" s="1"/>
      <c r="G8" s="1"/>
      <c r="H8" s="1">
        <v>2</v>
      </c>
      <c r="I8" s="1">
        <v>8</v>
      </c>
      <c r="J8" s="1">
        <v>4</v>
      </c>
      <c r="K8" s="1">
        <v>10</v>
      </c>
      <c r="L8" s="1">
        <v>11</v>
      </c>
      <c r="M8" s="1">
        <v>7</v>
      </c>
      <c r="N8" s="1">
        <v>13</v>
      </c>
      <c r="O8" s="1"/>
      <c r="P8" s="1"/>
      <c r="Q8" s="1">
        <v>57</v>
      </c>
      <c r="R8" s="1">
        <v>55</v>
      </c>
      <c r="S8" s="1">
        <v>9</v>
      </c>
      <c r="T8" s="40">
        <v>5</v>
      </c>
      <c r="U8" s="35" t="s">
        <v>37</v>
      </c>
      <c r="V8" s="1"/>
      <c r="W8" s="1"/>
      <c r="X8" s="1"/>
      <c r="Y8" s="1"/>
      <c r="Z8" s="1"/>
      <c r="AA8" s="1"/>
      <c r="AB8" s="1">
        <v>2</v>
      </c>
      <c r="AC8" s="1"/>
      <c r="AD8" s="1">
        <v>3</v>
      </c>
      <c r="AE8" s="1">
        <v>1</v>
      </c>
      <c r="AF8" s="1"/>
      <c r="AG8" s="1">
        <v>3</v>
      </c>
      <c r="AH8" s="1"/>
      <c r="AI8" s="1" t="s">
        <v>37</v>
      </c>
      <c r="AJ8" s="1"/>
      <c r="AK8" s="36"/>
      <c r="AL8" s="1">
        <v>7</v>
      </c>
      <c r="AM8" s="1">
        <v>9</v>
      </c>
      <c r="AN8" s="37">
        <v>0.16</v>
      </c>
      <c r="AO8" s="1">
        <v>15</v>
      </c>
      <c r="AP8" s="1">
        <v>8</v>
      </c>
      <c r="AQ8" s="37">
        <v>0.6</v>
      </c>
      <c r="AR8" s="1">
        <v>64</v>
      </c>
      <c r="AS8" s="1">
        <v>30</v>
      </c>
      <c r="AT8" s="37">
        <v>0.23</v>
      </c>
      <c r="AU8" s="38">
        <v>0.02</v>
      </c>
      <c r="AV8" s="1" t="s">
        <v>53</v>
      </c>
      <c r="AW8" s="1" t="s">
        <v>54</v>
      </c>
      <c r="AX8" s="1">
        <v>13</v>
      </c>
      <c r="AY8" s="1">
        <v>7</v>
      </c>
    </row>
    <row r="9" spans="1:51" x14ac:dyDescent="0.25">
      <c r="A9" s="1" t="s">
        <v>55</v>
      </c>
      <c r="B9" s="1"/>
      <c r="C9" s="1"/>
      <c r="D9" s="1"/>
      <c r="E9" s="1"/>
      <c r="F9" s="1"/>
      <c r="G9" s="1"/>
      <c r="H9" s="1"/>
      <c r="I9" s="1"/>
      <c r="J9" s="1">
        <v>1</v>
      </c>
      <c r="K9" s="1">
        <v>1</v>
      </c>
      <c r="L9" s="1"/>
      <c r="M9" s="1">
        <v>1</v>
      </c>
      <c r="N9" s="1">
        <v>1</v>
      </c>
      <c r="O9" s="1"/>
      <c r="P9" s="1"/>
      <c r="Q9" s="1">
        <v>4</v>
      </c>
      <c r="R9" s="1">
        <v>4</v>
      </c>
      <c r="S9" s="1">
        <v>32</v>
      </c>
      <c r="T9" s="1">
        <v>17</v>
      </c>
      <c r="U9" s="35" t="s">
        <v>37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>
        <v>1</v>
      </c>
      <c r="AH9" s="1"/>
      <c r="AI9" s="1" t="s">
        <v>37</v>
      </c>
      <c r="AJ9" s="1"/>
      <c r="AK9" s="36"/>
      <c r="AL9" s="1">
        <v>1</v>
      </c>
      <c r="AM9" s="1">
        <v>1</v>
      </c>
      <c r="AN9" s="37">
        <v>0.25</v>
      </c>
      <c r="AO9" s="1">
        <v>4</v>
      </c>
      <c r="AP9" s="1">
        <v>17</v>
      </c>
      <c r="AQ9" s="37">
        <v>0.25</v>
      </c>
      <c r="AR9" s="1">
        <v>21</v>
      </c>
      <c r="AS9" s="1">
        <v>26</v>
      </c>
      <c r="AT9" s="37">
        <v>0.19</v>
      </c>
      <c r="AU9" s="38">
        <v>0.01</v>
      </c>
      <c r="AV9" s="1" t="s">
        <v>56</v>
      </c>
      <c r="AW9" s="1" t="s">
        <v>57</v>
      </c>
      <c r="AX9" s="1">
        <v>18</v>
      </c>
      <c r="AY9" s="1">
        <v>23</v>
      </c>
    </row>
    <row r="10" spans="1:51" x14ac:dyDescent="0.25">
      <c r="A10" s="1" t="s">
        <v>58</v>
      </c>
      <c r="B10" s="1">
        <v>18</v>
      </c>
      <c r="C10" s="1">
        <v>10</v>
      </c>
      <c r="D10" s="1">
        <v>27</v>
      </c>
      <c r="E10" s="1">
        <v>34</v>
      </c>
      <c r="F10" s="1">
        <v>11</v>
      </c>
      <c r="G10" s="1">
        <v>3</v>
      </c>
      <c r="H10" s="1"/>
      <c r="I10" s="1"/>
      <c r="J10" s="1"/>
      <c r="K10" s="1"/>
      <c r="L10" s="1"/>
      <c r="M10" s="1"/>
      <c r="N10" s="1"/>
      <c r="O10" s="1"/>
      <c r="P10" s="1"/>
      <c r="Q10" s="1">
        <v>103</v>
      </c>
      <c r="R10" s="1">
        <v>3</v>
      </c>
      <c r="S10" s="40">
        <v>5</v>
      </c>
      <c r="T10" s="1">
        <v>21</v>
      </c>
      <c r="U10" s="35" t="s">
        <v>37</v>
      </c>
      <c r="V10" s="1">
        <v>3</v>
      </c>
      <c r="W10" s="1">
        <v>2</v>
      </c>
      <c r="X10" s="1">
        <v>1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 t="s">
        <v>37</v>
      </c>
      <c r="AJ10" s="1"/>
      <c r="AK10" s="36"/>
      <c r="AL10" s="1">
        <v>16</v>
      </c>
      <c r="AM10" s="1">
        <v>6</v>
      </c>
      <c r="AN10" s="37">
        <v>0.06</v>
      </c>
      <c r="AO10" s="1"/>
      <c r="AP10" s="1">
        <v>0</v>
      </c>
      <c r="AQ10" s="37">
        <v>0</v>
      </c>
      <c r="AR10" s="1">
        <v>54</v>
      </c>
      <c r="AS10" s="1">
        <v>8</v>
      </c>
      <c r="AT10" s="37">
        <v>0</v>
      </c>
      <c r="AU10" s="38">
        <v>0</v>
      </c>
      <c r="AV10" s="1" t="s">
        <v>48</v>
      </c>
      <c r="AW10" s="1" t="s">
        <v>48</v>
      </c>
      <c r="AX10" s="1"/>
      <c r="AY10" s="1"/>
    </row>
    <row r="11" spans="1:51" x14ac:dyDescent="0.25">
      <c r="A11" s="1" t="s">
        <v>59</v>
      </c>
      <c r="B11" s="1"/>
      <c r="C11" s="1"/>
      <c r="D11" s="1"/>
      <c r="E11" s="1"/>
      <c r="F11" s="1"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>
        <v>1</v>
      </c>
      <c r="R11" s="1">
        <v>0</v>
      </c>
      <c r="S11" s="1">
        <v>38</v>
      </c>
      <c r="T11" s="1">
        <v>28</v>
      </c>
      <c r="U11" s="35" t="s">
        <v>37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 t="s">
        <v>37</v>
      </c>
      <c r="AJ11" s="1"/>
      <c r="AK11" s="36"/>
      <c r="AL11" s="1">
        <v>1</v>
      </c>
      <c r="AM11" s="1">
        <v>0</v>
      </c>
      <c r="AN11" s="37">
        <v>0</v>
      </c>
      <c r="AO11" s="1"/>
      <c r="AP11" s="1">
        <v>0</v>
      </c>
      <c r="AQ11" s="37">
        <v>0</v>
      </c>
      <c r="AR11" s="1">
        <v>3</v>
      </c>
      <c r="AS11" s="1">
        <v>5</v>
      </c>
      <c r="AT11" s="37">
        <v>0</v>
      </c>
      <c r="AU11" s="38">
        <v>0</v>
      </c>
      <c r="AV11" s="1" t="s">
        <v>48</v>
      </c>
      <c r="AW11" s="1" t="s">
        <v>48</v>
      </c>
      <c r="AX11" s="1"/>
      <c r="AY11" s="1"/>
    </row>
    <row r="12" spans="1:51" x14ac:dyDescent="0.25">
      <c r="A12" s="1" t="s">
        <v>60</v>
      </c>
      <c r="B12" s="1"/>
      <c r="C12" s="1"/>
      <c r="D12" s="1"/>
      <c r="E12" s="1"/>
      <c r="F12" s="1"/>
      <c r="G12" s="1"/>
      <c r="H12" s="1"/>
      <c r="I12" s="1"/>
      <c r="J12" s="1"/>
      <c r="K12" s="1">
        <v>1</v>
      </c>
      <c r="L12" s="1">
        <v>2</v>
      </c>
      <c r="M12" s="1"/>
      <c r="N12" s="1"/>
      <c r="O12" s="1"/>
      <c r="P12" s="1"/>
      <c r="Q12" s="1">
        <v>3</v>
      </c>
      <c r="R12" s="1">
        <v>3</v>
      </c>
      <c r="S12" s="1">
        <v>34</v>
      </c>
      <c r="T12" s="1">
        <v>21</v>
      </c>
      <c r="U12" s="35" t="s">
        <v>37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 t="s">
        <v>37</v>
      </c>
      <c r="AJ12" s="1"/>
      <c r="AK12" s="36"/>
      <c r="AL12" s="1">
        <v>2</v>
      </c>
      <c r="AM12" s="1">
        <v>0</v>
      </c>
      <c r="AN12" s="37">
        <v>0</v>
      </c>
      <c r="AO12" s="1">
        <v>2</v>
      </c>
      <c r="AP12" s="1">
        <v>19</v>
      </c>
      <c r="AQ12" s="37">
        <v>0</v>
      </c>
      <c r="AR12" s="1">
        <v>25</v>
      </c>
      <c r="AS12" s="1">
        <v>22</v>
      </c>
      <c r="AT12" s="37">
        <v>0.08</v>
      </c>
      <c r="AU12" s="38">
        <v>0</v>
      </c>
      <c r="AV12" s="1" t="s">
        <v>61</v>
      </c>
      <c r="AW12" s="1" t="s">
        <v>62</v>
      </c>
      <c r="AX12" s="1">
        <v>22</v>
      </c>
      <c r="AY12" s="1">
        <v>26</v>
      </c>
    </row>
    <row r="13" spans="1:51" x14ac:dyDescent="0.25">
      <c r="A13" s="1" t="s">
        <v>63</v>
      </c>
      <c r="B13" s="1">
        <v>1</v>
      </c>
      <c r="C13" s="1"/>
      <c r="D13" s="1">
        <v>3</v>
      </c>
      <c r="E13" s="1">
        <v>3</v>
      </c>
      <c r="F13" s="1">
        <v>2</v>
      </c>
      <c r="G13" s="1"/>
      <c r="H13" s="1"/>
      <c r="I13" s="1"/>
      <c r="J13" s="1"/>
      <c r="K13" s="1">
        <v>1</v>
      </c>
      <c r="L13" s="1"/>
      <c r="M13" s="1"/>
      <c r="N13" s="1">
        <v>2</v>
      </c>
      <c r="O13" s="1">
        <v>1</v>
      </c>
      <c r="P13" s="1"/>
      <c r="Q13" s="1">
        <v>13</v>
      </c>
      <c r="R13" s="1">
        <v>4</v>
      </c>
      <c r="S13" s="1">
        <v>25</v>
      </c>
      <c r="T13" s="1">
        <v>17</v>
      </c>
      <c r="U13" s="35" t="s">
        <v>37</v>
      </c>
      <c r="V13" s="1"/>
      <c r="W13" s="1"/>
      <c r="X13" s="1"/>
      <c r="Y13" s="1"/>
      <c r="Z13" s="1"/>
      <c r="AA13" s="1"/>
      <c r="AB13" s="1"/>
      <c r="AC13" s="1"/>
      <c r="AD13" s="1">
        <v>1</v>
      </c>
      <c r="AE13" s="1"/>
      <c r="AF13" s="1"/>
      <c r="AG13" s="1">
        <v>1</v>
      </c>
      <c r="AH13" s="1"/>
      <c r="AI13" s="1" t="s">
        <v>37</v>
      </c>
      <c r="AJ13" s="1"/>
      <c r="AK13" s="36"/>
      <c r="AL13" s="1">
        <v>2</v>
      </c>
      <c r="AM13" s="1">
        <v>2</v>
      </c>
      <c r="AN13" s="37">
        <v>0.15</v>
      </c>
      <c r="AO13" s="41">
        <v>21</v>
      </c>
      <c r="AP13" s="1">
        <v>4</v>
      </c>
      <c r="AQ13" s="37">
        <v>0.1</v>
      </c>
      <c r="AR13" s="1">
        <v>20</v>
      </c>
      <c r="AS13" s="1">
        <v>32</v>
      </c>
      <c r="AT13" s="37">
        <v>1.05</v>
      </c>
      <c r="AU13" s="38">
        <v>0</v>
      </c>
      <c r="AV13" s="1" t="s">
        <v>64</v>
      </c>
      <c r="AW13" s="1" t="s">
        <v>65</v>
      </c>
      <c r="AX13" s="1"/>
      <c r="AY13" s="1">
        <v>3</v>
      </c>
    </row>
    <row r="14" spans="1:51" x14ac:dyDescent="0.25">
      <c r="A14" s="1" t="s">
        <v>66</v>
      </c>
      <c r="B14" s="1">
        <v>1</v>
      </c>
      <c r="C14" s="1"/>
      <c r="D14" s="1">
        <v>1</v>
      </c>
      <c r="E14" s="1"/>
      <c r="F14" s="1"/>
      <c r="G14" s="1"/>
      <c r="H14" s="1"/>
      <c r="I14" s="1">
        <v>1</v>
      </c>
      <c r="J14" s="1">
        <v>5</v>
      </c>
      <c r="K14" s="1">
        <v>10</v>
      </c>
      <c r="L14" s="1">
        <v>14</v>
      </c>
      <c r="M14" s="1">
        <v>9</v>
      </c>
      <c r="N14" s="1">
        <v>6</v>
      </c>
      <c r="O14" s="1"/>
      <c r="P14" s="1"/>
      <c r="Q14" s="1">
        <v>47</v>
      </c>
      <c r="R14" s="1">
        <v>45</v>
      </c>
      <c r="S14" s="1">
        <v>11</v>
      </c>
      <c r="T14" s="1">
        <v>6</v>
      </c>
      <c r="U14" s="35" t="s">
        <v>37</v>
      </c>
      <c r="V14" s="1"/>
      <c r="W14" s="1"/>
      <c r="X14" s="1"/>
      <c r="Y14" s="1"/>
      <c r="Z14" s="1"/>
      <c r="AA14" s="1"/>
      <c r="AB14" s="1"/>
      <c r="AC14" s="1"/>
      <c r="AD14" s="1">
        <v>1</v>
      </c>
      <c r="AE14" s="1">
        <v>1</v>
      </c>
      <c r="AF14" s="1">
        <v>1</v>
      </c>
      <c r="AG14" s="1">
        <v>2</v>
      </c>
      <c r="AH14" s="1"/>
      <c r="AI14" s="1" t="s">
        <v>37</v>
      </c>
      <c r="AJ14" s="1"/>
      <c r="AK14" s="36"/>
      <c r="AL14" s="1">
        <v>8</v>
      </c>
      <c r="AM14" s="1">
        <v>5</v>
      </c>
      <c r="AN14" s="37">
        <v>0.11</v>
      </c>
      <c r="AO14" s="1">
        <v>12</v>
      </c>
      <c r="AP14" s="1">
        <v>9</v>
      </c>
      <c r="AQ14" s="37">
        <v>0.42</v>
      </c>
      <c r="AR14" s="1">
        <v>36</v>
      </c>
      <c r="AS14" s="1">
        <v>25</v>
      </c>
      <c r="AT14" s="37">
        <v>0.33</v>
      </c>
      <c r="AU14" s="38">
        <v>0.02</v>
      </c>
      <c r="AV14" s="1" t="s">
        <v>67</v>
      </c>
      <c r="AW14" s="1" t="s">
        <v>68</v>
      </c>
      <c r="AX14" s="1">
        <v>6</v>
      </c>
      <c r="AY14" s="1">
        <v>9</v>
      </c>
    </row>
    <row r="15" spans="1:51" x14ac:dyDescent="0.25">
      <c r="A15" s="1" t="s">
        <v>69</v>
      </c>
      <c r="B15" s="1"/>
      <c r="C15" s="1"/>
      <c r="D15" s="1">
        <v>10</v>
      </c>
      <c r="E15" s="1">
        <v>5</v>
      </c>
      <c r="F15" s="1">
        <v>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>
        <v>22</v>
      </c>
      <c r="R15" s="1">
        <v>0</v>
      </c>
      <c r="S15" s="1">
        <v>18</v>
      </c>
      <c r="T15" s="1">
        <v>28</v>
      </c>
      <c r="U15" s="35" t="s">
        <v>37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 t="s">
        <v>37</v>
      </c>
      <c r="AJ15" s="1"/>
      <c r="AK15" s="36"/>
      <c r="AL15" s="1">
        <v>6</v>
      </c>
      <c r="AM15" s="1">
        <v>0</v>
      </c>
      <c r="AN15" s="37">
        <v>0</v>
      </c>
      <c r="AO15" s="1">
        <v>1</v>
      </c>
      <c r="AP15" s="1">
        <v>23</v>
      </c>
      <c r="AQ15" s="37">
        <v>0</v>
      </c>
      <c r="AR15" s="1">
        <v>19</v>
      </c>
      <c r="AS15" s="1">
        <v>5</v>
      </c>
      <c r="AT15" s="37">
        <v>0.05</v>
      </c>
      <c r="AU15" s="38">
        <v>0</v>
      </c>
      <c r="AV15" s="1" t="s">
        <v>70</v>
      </c>
      <c r="AW15" s="1" t="s">
        <v>42</v>
      </c>
      <c r="AX15" s="1">
        <v>23</v>
      </c>
      <c r="AY15" s="1">
        <v>20</v>
      </c>
    </row>
    <row r="16" spans="1:51" x14ac:dyDescent="0.25">
      <c r="A16" s="1" t="s">
        <v>71</v>
      </c>
      <c r="B16" s="1">
        <v>2</v>
      </c>
      <c r="C16" s="1">
        <v>2</v>
      </c>
      <c r="D16" s="1">
        <v>2</v>
      </c>
      <c r="E16" s="1"/>
      <c r="F16" s="1"/>
      <c r="G16" s="1">
        <v>3</v>
      </c>
      <c r="H16" s="1"/>
      <c r="I16" s="1"/>
      <c r="J16" s="1"/>
      <c r="K16" s="1"/>
      <c r="L16" s="1"/>
      <c r="M16" s="1"/>
      <c r="N16" s="1"/>
      <c r="O16" s="1"/>
      <c r="P16" s="1"/>
      <c r="Q16" s="1">
        <v>9</v>
      </c>
      <c r="R16" s="1">
        <v>3</v>
      </c>
      <c r="S16" s="1">
        <v>27</v>
      </c>
      <c r="T16" s="1">
        <v>21</v>
      </c>
      <c r="U16" s="35">
        <v>2</v>
      </c>
      <c r="V16" s="1">
        <v>2</v>
      </c>
      <c r="W16" s="1">
        <v>1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 t="s">
        <v>37</v>
      </c>
      <c r="AJ16" s="1"/>
      <c r="AK16" s="36"/>
      <c r="AL16" s="1">
        <v>3</v>
      </c>
      <c r="AM16" s="1">
        <v>5</v>
      </c>
      <c r="AN16" s="37">
        <v>0.56000000000000005</v>
      </c>
      <c r="AO16" s="1"/>
      <c r="AP16" s="42" t="s">
        <v>72</v>
      </c>
      <c r="AQ16" s="37">
        <v>0</v>
      </c>
      <c r="AR16" s="1">
        <v>7</v>
      </c>
      <c r="AS16" s="1">
        <v>5</v>
      </c>
      <c r="AT16" s="37">
        <v>0</v>
      </c>
      <c r="AU16" s="38">
        <v>0</v>
      </c>
      <c r="AV16" s="1" t="s">
        <v>48</v>
      </c>
      <c r="AW16" s="1" t="s">
        <v>48</v>
      </c>
      <c r="AX16" s="1"/>
      <c r="AY16" s="1"/>
    </row>
    <row r="17" spans="1:51" x14ac:dyDescent="0.25">
      <c r="A17" s="1" t="s">
        <v>73</v>
      </c>
      <c r="B17" s="1"/>
      <c r="C17" s="1"/>
      <c r="D17" s="1">
        <v>1</v>
      </c>
      <c r="E17" s="1">
        <v>2</v>
      </c>
      <c r="F17" s="1">
        <v>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>
        <v>8</v>
      </c>
      <c r="R17" s="1">
        <v>0</v>
      </c>
      <c r="S17" s="1">
        <v>28</v>
      </c>
      <c r="T17" s="1">
        <v>28</v>
      </c>
      <c r="U17" s="35" t="s">
        <v>37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 t="s">
        <v>37</v>
      </c>
      <c r="AJ17" s="1"/>
      <c r="AK17" s="36"/>
      <c r="AL17" s="1">
        <v>4</v>
      </c>
      <c r="AM17" s="1">
        <v>0</v>
      </c>
      <c r="AN17" s="37">
        <v>0</v>
      </c>
      <c r="AO17" s="1"/>
      <c r="AP17" s="42" t="s">
        <v>72</v>
      </c>
      <c r="AQ17" s="37">
        <v>0</v>
      </c>
      <c r="AR17" s="1">
        <v>8</v>
      </c>
      <c r="AS17" s="1">
        <v>7</v>
      </c>
      <c r="AT17" s="37">
        <v>0</v>
      </c>
      <c r="AU17" s="38">
        <v>0</v>
      </c>
      <c r="AV17" s="1" t="s">
        <v>48</v>
      </c>
      <c r="AW17" s="1" t="s">
        <v>48</v>
      </c>
      <c r="AX17" s="1"/>
      <c r="AY17" s="1"/>
    </row>
    <row r="18" spans="1:51" x14ac:dyDescent="0.25">
      <c r="A18" s="1" t="s">
        <v>74</v>
      </c>
      <c r="B18" s="1">
        <v>1</v>
      </c>
      <c r="C18" s="1"/>
      <c r="D18" s="1">
        <v>1</v>
      </c>
      <c r="E18" s="1"/>
      <c r="F18" s="1"/>
      <c r="G18" s="1">
        <v>1</v>
      </c>
      <c r="H18" s="1">
        <v>1</v>
      </c>
      <c r="I18" s="1"/>
      <c r="J18" s="1"/>
      <c r="K18" s="1">
        <v>2</v>
      </c>
      <c r="L18" s="1"/>
      <c r="M18" s="1"/>
      <c r="N18" s="1"/>
      <c r="O18" s="1"/>
      <c r="P18" s="1"/>
      <c r="Q18" s="1">
        <v>6</v>
      </c>
      <c r="R18" s="1">
        <v>4</v>
      </c>
      <c r="S18" s="1">
        <v>30</v>
      </c>
      <c r="T18" s="1">
        <v>17</v>
      </c>
      <c r="U18" s="35" t="s">
        <v>37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 t="s">
        <v>37</v>
      </c>
      <c r="AJ18" s="1"/>
      <c r="AK18" s="36"/>
      <c r="AL18" s="1">
        <v>1</v>
      </c>
      <c r="AM18" s="1">
        <v>0</v>
      </c>
      <c r="AN18" s="37">
        <v>0</v>
      </c>
      <c r="AO18" s="1">
        <v>2</v>
      </c>
      <c r="AP18" s="1">
        <v>19</v>
      </c>
      <c r="AQ18" s="37">
        <v>0</v>
      </c>
      <c r="AR18" s="1">
        <v>25</v>
      </c>
      <c r="AS18" s="1">
        <v>22</v>
      </c>
      <c r="AT18" s="37">
        <v>0.08</v>
      </c>
      <c r="AU18" s="38">
        <v>0</v>
      </c>
      <c r="AV18" s="1" t="s">
        <v>61</v>
      </c>
      <c r="AW18" s="1" t="s">
        <v>62</v>
      </c>
      <c r="AX18" s="1">
        <v>22</v>
      </c>
      <c r="AY18" s="1">
        <v>26</v>
      </c>
    </row>
    <row r="19" spans="1:51" x14ac:dyDescent="0.25">
      <c r="A19" s="1" t="s">
        <v>75</v>
      </c>
      <c r="B19" s="1">
        <v>2</v>
      </c>
      <c r="C19" s="1">
        <v>1</v>
      </c>
      <c r="D19" s="1">
        <v>4</v>
      </c>
      <c r="E19" s="1">
        <v>1</v>
      </c>
      <c r="F19" s="1"/>
      <c r="G19" s="1">
        <v>3</v>
      </c>
      <c r="H19" s="1">
        <v>6</v>
      </c>
      <c r="I19" s="1">
        <v>1</v>
      </c>
      <c r="J19" s="1"/>
      <c r="K19" s="1"/>
      <c r="L19" s="1"/>
      <c r="M19" s="1"/>
      <c r="N19" s="1"/>
      <c r="O19" s="1"/>
      <c r="P19" s="1"/>
      <c r="Q19" s="1">
        <v>18</v>
      </c>
      <c r="R19" s="1">
        <v>10</v>
      </c>
      <c r="S19" s="1">
        <v>22</v>
      </c>
      <c r="T19" s="1">
        <v>15</v>
      </c>
      <c r="U19" s="35" t="s">
        <v>37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 t="s">
        <v>37</v>
      </c>
      <c r="AJ19" s="1"/>
      <c r="AK19" s="36"/>
      <c r="AL19" s="1">
        <v>3</v>
      </c>
      <c r="AM19" s="1">
        <v>0</v>
      </c>
      <c r="AN19" s="37">
        <v>0</v>
      </c>
      <c r="AO19" s="41">
        <v>11</v>
      </c>
      <c r="AP19" s="1">
        <v>10</v>
      </c>
      <c r="AQ19" s="37">
        <v>0</v>
      </c>
      <c r="AR19" s="1">
        <v>17</v>
      </c>
      <c r="AS19" s="1">
        <v>11</v>
      </c>
      <c r="AT19" s="37">
        <v>0.65</v>
      </c>
      <c r="AU19" s="38">
        <v>0</v>
      </c>
      <c r="AV19" s="1" t="s">
        <v>76</v>
      </c>
      <c r="AW19" s="1" t="s">
        <v>41</v>
      </c>
      <c r="AX19" s="1">
        <v>3</v>
      </c>
      <c r="AY19" s="1">
        <v>1</v>
      </c>
    </row>
    <row r="20" spans="1:51" x14ac:dyDescent="0.25">
      <c r="A20" s="1" t="s">
        <v>77</v>
      </c>
      <c r="B20" s="1"/>
      <c r="C20" s="1"/>
      <c r="D20" s="1">
        <v>1</v>
      </c>
      <c r="E20" s="1">
        <v>1</v>
      </c>
      <c r="F20" s="1">
        <v>4</v>
      </c>
      <c r="G20" s="1">
        <v>12</v>
      </c>
      <c r="H20" s="1">
        <v>29</v>
      </c>
      <c r="I20" s="1">
        <v>8</v>
      </c>
      <c r="J20" s="1">
        <v>7</v>
      </c>
      <c r="K20" s="1">
        <v>1</v>
      </c>
      <c r="L20" s="1"/>
      <c r="M20" s="1"/>
      <c r="N20" s="1"/>
      <c r="O20" s="1"/>
      <c r="P20" s="1"/>
      <c r="Q20" s="1">
        <v>63</v>
      </c>
      <c r="R20" s="1">
        <v>57</v>
      </c>
      <c r="S20" s="1">
        <v>7</v>
      </c>
      <c r="T20" s="39">
        <v>4</v>
      </c>
      <c r="U20" s="35" t="s">
        <v>37</v>
      </c>
      <c r="V20" s="1"/>
      <c r="W20" s="1">
        <v>1</v>
      </c>
      <c r="X20" s="1"/>
      <c r="Y20" s="1">
        <v>1</v>
      </c>
      <c r="Z20" s="1">
        <v>2</v>
      </c>
      <c r="AA20" s="1">
        <v>2</v>
      </c>
      <c r="AB20" s="1"/>
      <c r="AC20" s="1">
        <v>1</v>
      </c>
      <c r="AD20" s="1"/>
      <c r="AE20" s="1"/>
      <c r="AF20" s="1"/>
      <c r="AG20" s="1"/>
      <c r="AH20" s="1"/>
      <c r="AI20" s="1" t="s">
        <v>37</v>
      </c>
      <c r="AJ20" s="1"/>
      <c r="AK20" s="36"/>
      <c r="AL20" s="1">
        <v>9</v>
      </c>
      <c r="AM20" s="1">
        <v>7</v>
      </c>
      <c r="AN20" s="37">
        <v>0.11</v>
      </c>
      <c r="AO20" s="1">
        <v>25</v>
      </c>
      <c r="AP20" s="1">
        <v>3</v>
      </c>
      <c r="AQ20" s="37">
        <v>0.28000000000000003</v>
      </c>
      <c r="AR20" s="1">
        <v>34</v>
      </c>
      <c r="AS20" s="1">
        <v>61</v>
      </c>
      <c r="AT20" s="37">
        <v>0.74</v>
      </c>
      <c r="AU20" s="38">
        <v>0</v>
      </c>
      <c r="AV20" s="1" t="s">
        <v>78</v>
      </c>
      <c r="AW20" s="1" t="s">
        <v>79</v>
      </c>
      <c r="AX20" s="1">
        <v>2</v>
      </c>
      <c r="AY20" s="1">
        <v>12</v>
      </c>
    </row>
    <row r="21" spans="1:51" x14ac:dyDescent="0.25">
      <c r="A21" s="1" t="s">
        <v>80</v>
      </c>
      <c r="B21" s="1">
        <v>114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>
        <v>114</v>
      </c>
      <c r="R21" s="1">
        <v>0</v>
      </c>
      <c r="S21" s="43">
        <v>3</v>
      </c>
      <c r="T21" s="1">
        <v>28</v>
      </c>
      <c r="U21" s="35">
        <v>2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 t="s">
        <v>37</v>
      </c>
      <c r="AJ21" s="1"/>
      <c r="AK21" s="36"/>
      <c r="AL21" s="1">
        <v>0</v>
      </c>
      <c r="AM21" s="1">
        <v>2</v>
      </c>
      <c r="AN21" s="37">
        <v>0.02</v>
      </c>
      <c r="AO21" s="1">
        <v>2</v>
      </c>
      <c r="AP21" s="1">
        <v>19</v>
      </c>
      <c r="AQ21" s="37">
        <v>1</v>
      </c>
      <c r="AR21" s="1">
        <v>18</v>
      </c>
      <c r="AS21" s="1">
        <v>6</v>
      </c>
      <c r="AT21" s="37">
        <v>0.11</v>
      </c>
      <c r="AU21" s="38">
        <v>0.17</v>
      </c>
      <c r="AV21" s="1" t="s">
        <v>81</v>
      </c>
      <c r="AW21" s="1" t="s">
        <v>67</v>
      </c>
      <c r="AX21" s="1">
        <v>20</v>
      </c>
      <c r="AY21" s="1">
        <v>15</v>
      </c>
    </row>
    <row r="22" spans="1:51" x14ac:dyDescent="0.25">
      <c r="A22" s="1" t="s">
        <v>82</v>
      </c>
      <c r="B22" s="1"/>
      <c r="C22" s="1"/>
      <c r="D22" s="1"/>
      <c r="E22" s="1"/>
      <c r="F22" s="1"/>
      <c r="G22" s="1">
        <v>8</v>
      </c>
      <c r="H22" s="1"/>
      <c r="I22" s="1"/>
      <c r="J22" s="1"/>
      <c r="K22" s="1"/>
      <c r="L22" s="1"/>
      <c r="M22" s="1"/>
      <c r="N22" s="1"/>
      <c r="O22" s="1"/>
      <c r="P22" s="1"/>
      <c r="Q22" s="1">
        <v>8</v>
      </c>
      <c r="R22" s="1">
        <v>8</v>
      </c>
      <c r="S22" s="1">
        <v>28</v>
      </c>
      <c r="T22" s="1">
        <v>16</v>
      </c>
      <c r="U22" s="35" t="s">
        <v>37</v>
      </c>
      <c r="V22" s="1"/>
      <c r="W22" s="1"/>
      <c r="X22" s="1"/>
      <c r="Y22" s="1"/>
      <c r="Z22" s="1">
        <v>1</v>
      </c>
      <c r="AA22" s="1"/>
      <c r="AB22" s="1"/>
      <c r="AC22" s="1"/>
      <c r="AD22" s="1"/>
      <c r="AE22" s="1"/>
      <c r="AF22" s="1"/>
      <c r="AG22" s="1"/>
      <c r="AH22" s="1"/>
      <c r="AI22" s="1" t="s">
        <v>37</v>
      </c>
      <c r="AJ22" s="1"/>
      <c r="AK22" s="36"/>
      <c r="AL22" s="1">
        <v>8</v>
      </c>
      <c r="AM22" s="1">
        <v>1</v>
      </c>
      <c r="AN22" s="37">
        <v>0.13</v>
      </c>
      <c r="AO22" s="1">
        <v>1</v>
      </c>
      <c r="AP22" s="1">
        <v>23</v>
      </c>
      <c r="AQ22" s="37">
        <v>1</v>
      </c>
      <c r="AR22" s="1">
        <v>5</v>
      </c>
      <c r="AS22" s="1">
        <v>2</v>
      </c>
      <c r="AT22" s="37">
        <v>0.2</v>
      </c>
      <c r="AU22" s="38">
        <v>0.5</v>
      </c>
      <c r="AV22" s="1" t="s">
        <v>42</v>
      </c>
      <c r="AW22" s="1" t="s">
        <v>54</v>
      </c>
      <c r="AX22" s="1">
        <v>17</v>
      </c>
      <c r="AY22" s="1">
        <v>7</v>
      </c>
    </row>
    <row r="23" spans="1:51" x14ac:dyDescent="0.25">
      <c r="A23" s="1" t="s">
        <v>83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2</v>
      </c>
      <c r="Q23" s="1">
        <v>2</v>
      </c>
      <c r="R23" s="1">
        <v>2</v>
      </c>
      <c r="S23" s="1">
        <v>36</v>
      </c>
      <c r="T23" s="1">
        <v>25</v>
      </c>
      <c r="U23" s="35" t="s">
        <v>37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 t="s">
        <v>37</v>
      </c>
      <c r="AJ23" s="1"/>
      <c r="AK23" s="36"/>
      <c r="AL23" s="1">
        <v>2</v>
      </c>
      <c r="AM23" s="1">
        <v>0</v>
      </c>
      <c r="AN23" s="37">
        <v>0</v>
      </c>
      <c r="AO23" s="1"/>
      <c r="AP23" s="42" t="s">
        <v>72</v>
      </c>
      <c r="AQ23" s="37">
        <v>0</v>
      </c>
      <c r="AR23" s="1">
        <v>4</v>
      </c>
      <c r="AS23" s="1">
        <v>8</v>
      </c>
      <c r="AT23" s="37">
        <v>0</v>
      </c>
      <c r="AU23" s="38">
        <v>0</v>
      </c>
      <c r="AV23" s="1" t="s">
        <v>48</v>
      </c>
      <c r="AW23" s="1" t="s">
        <v>48</v>
      </c>
      <c r="AX23" s="1"/>
      <c r="AY23" s="1"/>
    </row>
    <row r="24" spans="1:51" x14ac:dyDescent="0.25">
      <c r="A24" s="1" t="s">
        <v>84</v>
      </c>
      <c r="B24" s="1">
        <v>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>
        <v>2</v>
      </c>
      <c r="R24" s="1">
        <v>0</v>
      </c>
      <c r="S24" s="1">
        <v>36</v>
      </c>
      <c r="T24" s="1">
        <v>28</v>
      </c>
      <c r="U24" s="35">
        <v>2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 t="s">
        <v>37</v>
      </c>
      <c r="AJ24" s="1"/>
      <c r="AK24" s="36"/>
      <c r="AL24" s="1">
        <v>0</v>
      </c>
      <c r="AM24" s="1">
        <v>2</v>
      </c>
      <c r="AN24" s="37">
        <v>1</v>
      </c>
      <c r="AO24" s="1">
        <v>3</v>
      </c>
      <c r="AP24" s="1">
        <v>18</v>
      </c>
      <c r="AQ24" s="37">
        <v>0.67</v>
      </c>
      <c r="AR24" s="1">
        <v>1</v>
      </c>
      <c r="AS24" s="1">
        <v>5</v>
      </c>
      <c r="AT24" s="37">
        <v>3</v>
      </c>
      <c r="AU24" s="38">
        <v>0.13</v>
      </c>
      <c r="AV24" s="1" t="s">
        <v>85</v>
      </c>
      <c r="AW24" s="1" t="s">
        <v>86</v>
      </c>
      <c r="AX24" s="1"/>
      <c r="AY24" s="1">
        <v>4</v>
      </c>
    </row>
    <row r="25" spans="1:51" x14ac:dyDescent="0.25">
      <c r="A25" s="1" t="s">
        <v>87</v>
      </c>
      <c r="B25" s="1">
        <v>67</v>
      </c>
      <c r="C25" s="1">
        <v>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>
        <v>68</v>
      </c>
      <c r="R25" s="1">
        <v>0</v>
      </c>
      <c r="S25" s="1">
        <v>6</v>
      </c>
      <c r="T25" s="1">
        <v>28</v>
      </c>
      <c r="U25" s="35" t="s">
        <v>37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 t="s">
        <v>37</v>
      </c>
      <c r="AJ25" s="1"/>
      <c r="AK25" s="36"/>
      <c r="AL25" s="1">
        <v>0</v>
      </c>
      <c r="AM25" s="1">
        <v>0</v>
      </c>
      <c r="AN25" s="37">
        <v>0</v>
      </c>
      <c r="AO25" s="1"/>
      <c r="AP25" s="42" t="s">
        <v>72</v>
      </c>
      <c r="AQ25" s="37">
        <v>0</v>
      </c>
      <c r="AR25" s="1">
        <v>0</v>
      </c>
      <c r="AS25" s="1">
        <v>7</v>
      </c>
      <c r="AT25" s="1" t="e">
        <f>AS25/AR25</f>
        <v>#DIV/0!</v>
      </c>
      <c r="AU25" s="38">
        <v>0</v>
      </c>
      <c r="AV25" s="1" t="s">
        <v>48</v>
      </c>
      <c r="AW25" s="1" t="s">
        <v>48</v>
      </c>
      <c r="AX25" s="1"/>
      <c r="AY25" s="1"/>
    </row>
    <row r="26" spans="1:51" x14ac:dyDescent="0.25">
      <c r="A26" s="1" t="s">
        <v>88</v>
      </c>
      <c r="B26" s="1"/>
      <c r="C26" s="1"/>
      <c r="D26" s="1"/>
      <c r="E26" s="1">
        <v>2</v>
      </c>
      <c r="F26" s="1">
        <v>5</v>
      </c>
      <c r="G26" s="1">
        <v>17</v>
      </c>
      <c r="H26" s="1">
        <v>5</v>
      </c>
      <c r="I26" s="1">
        <v>9</v>
      </c>
      <c r="J26" s="1"/>
      <c r="K26" s="1">
        <v>9</v>
      </c>
      <c r="L26" s="1">
        <v>4</v>
      </c>
      <c r="M26" s="1"/>
      <c r="N26" s="1"/>
      <c r="O26" s="1"/>
      <c r="P26" s="1"/>
      <c r="Q26" s="1">
        <v>51</v>
      </c>
      <c r="R26" s="1">
        <v>44</v>
      </c>
      <c r="S26" s="1">
        <v>10</v>
      </c>
      <c r="T26" s="1">
        <v>7</v>
      </c>
      <c r="U26" s="35" t="s">
        <v>37</v>
      </c>
      <c r="V26" s="1"/>
      <c r="W26" s="1"/>
      <c r="X26" s="1"/>
      <c r="Y26" s="1"/>
      <c r="Z26" s="1"/>
      <c r="AA26" s="1">
        <v>2</v>
      </c>
      <c r="AB26" s="1">
        <v>1</v>
      </c>
      <c r="AC26" s="1"/>
      <c r="AD26" s="1">
        <v>3</v>
      </c>
      <c r="AE26" s="1"/>
      <c r="AF26" s="1"/>
      <c r="AG26" s="1"/>
      <c r="AH26" s="1"/>
      <c r="AI26" s="1" t="s">
        <v>37</v>
      </c>
      <c r="AJ26" s="1"/>
      <c r="AK26" s="36"/>
      <c r="AL26" s="1">
        <v>7</v>
      </c>
      <c r="AM26" s="1">
        <v>6</v>
      </c>
      <c r="AN26" s="37">
        <v>0.12</v>
      </c>
      <c r="AO26" s="1">
        <v>16</v>
      </c>
      <c r="AP26" s="1">
        <v>7</v>
      </c>
      <c r="AQ26" s="37">
        <v>0.38</v>
      </c>
      <c r="AR26" s="1">
        <v>48</v>
      </c>
      <c r="AS26" s="1">
        <v>49</v>
      </c>
      <c r="AT26" s="37">
        <v>0.33</v>
      </c>
      <c r="AU26" s="38">
        <v>0.01</v>
      </c>
      <c r="AV26" s="1" t="s">
        <v>67</v>
      </c>
      <c r="AW26" s="1" t="s">
        <v>89</v>
      </c>
      <c r="AX26" s="1">
        <v>6</v>
      </c>
      <c r="AY26" s="1">
        <v>16</v>
      </c>
    </row>
    <row r="27" spans="1:51" x14ac:dyDescent="0.25">
      <c r="A27" s="1" t="s">
        <v>90</v>
      </c>
      <c r="B27" s="1"/>
      <c r="C27" s="1"/>
      <c r="D27" s="1"/>
      <c r="E27" s="1"/>
      <c r="F27" s="1"/>
      <c r="G27" s="1"/>
      <c r="H27" s="1">
        <v>1</v>
      </c>
      <c r="I27" s="1"/>
      <c r="J27" s="1"/>
      <c r="K27" s="1">
        <v>1</v>
      </c>
      <c r="L27" s="1"/>
      <c r="M27" s="1"/>
      <c r="N27" s="1"/>
      <c r="O27" s="1"/>
      <c r="P27" s="1">
        <v>2</v>
      </c>
      <c r="Q27" s="1">
        <v>4</v>
      </c>
      <c r="R27" s="1">
        <v>4</v>
      </c>
      <c r="S27" s="1">
        <v>32</v>
      </c>
      <c r="T27" s="1">
        <v>17</v>
      </c>
      <c r="U27" s="35" t="s">
        <v>37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 t="s">
        <v>37</v>
      </c>
      <c r="AJ27" s="1"/>
      <c r="AK27" s="36"/>
      <c r="AL27" s="1">
        <v>1</v>
      </c>
      <c r="AM27" s="1">
        <v>0</v>
      </c>
      <c r="AN27" s="37">
        <v>0</v>
      </c>
      <c r="AO27" s="1"/>
      <c r="AP27" s="42" t="s">
        <v>72</v>
      </c>
      <c r="AQ27" s="37">
        <v>0</v>
      </c>
      <c r="AR27" s="1">
        <v>3</v>
      </c>
      <c r="AS27" s="1">
        <v>2</v>
      </c>
      <c r="AT27" s="37">
        <v>0</v>
      </c>
      <c r="AU27" s="38">
        <v>0</v>
      </c>
      <c r="AV27" s="1" t="s">
        <v>48</v>
      </c>
      <c r="AW27" s="1" t="s">
        <v>48</v>
      </c>
      <c r="AX27" s="1"/>
      <c r="AY27" s="1"/>
    </row>
    <row r="28" spans="1:51" x14ac:dyDescent="0.25">
      <c r="A28" s="1" t="s">
        <v>91</v>
      </c>
      <c r="B28" s="1">
        <v>10</v>
      </c>
      <c r="C28" s="1">
        <v>1</v>
      </c>
      <c r="D28" s="1">
        <v>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>
        <v>12</v>
      </c>
      <c r="R28" s="1">
        <v>0</v>
      </c>
      <c r="S28" s="1">
        <v>26</v>
      </c>
      <c r="T28" s="1">
        <v>28</v>
      </c>
      <c r="U28" s="35" t="s">
        <v>37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 t="s">
        <v>37</v>
      </c>
      <c r="AJ28" s="1"/>
      <c r="AK28" s="36"/>
      <c r="AL28" s="1">
        <v>0</v>
      </c>
      <c r="AM28" s="1">
        <v>0</v>
      </c>
      <c r="AN28" s="37">
        <v>0</v>
      </c>
      <c r="AO28" s="1"/>
      <c r="AP28" s="42" t="s">
        <v>72</v>
      </c>
      <c r="AQ28" s="37">
        <v>0</v>
      </c>
      <c r="AR28" s="1">
        <v>4</v>
      </c>
      <c r="AS28" s="1">
        <v>3</v>
      </c>
      <c r="AT28" s="37">
        <v>0</v>
      </c>
      <c r="AU28" s="38">
        <v>0</v>
      </c>
      <c r="AV28" s="1" t="s">
        <v>48</v>
      </c>
      <c r="AW28" s="1" t="s">
        <v>48</v>
      </c>
      <c r="AX28" s="1"/>
      <c r="AY28" s="1"/>
    </row>
    <row r="29" spans="1:51" x14ac:dyDescent="0.25">
      <c r="A29" s="1" t="s">
        <v>92</v>
      </c>
      <c r="B29" s="1">
        <v>6</v>
      </c>
      <c r="C29" s="1"/>
      <c r="D29" s="1">
        <v>12</v>
      </c>
      <c r="E29" s="1"/>
      <c r="F29" s="1"/>
      <c r="G29" s="1">
        <v>2</v>
      </c>
      <c r="H29" s="1"/>
      <c r="I29" s="1"/>
      <c r="J29" s="1"/>
      <c r="K29" s="1"/>
      <c r="L29" s="1"/>
      <c r="M29" s="1"/>
      <c r="N29" s="1"/>
      <c r="O29" s="1"/>
      <c r="P29" s="1"/>
      <c r="Q29" s="1">
        <v>20</v>
      </c>
      <c r="R29" s="1">
        <v>2</v>
      </c>
      <c r="S29" s="1">
        <v>20</v>
      </c>
      <c r="T29" s="1">
        <v>25</v>
      </c>
      <c r="U29" s="35" t="s">
        <v>37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 t="s">
        <v>37</v>
      </c>
      <c r="AJ29" s="1"/>
      <c r="AK29" s="36"/>
      <c r="AL29" s="1">
        <v>2</v>
      </c>
      <c r="AM29" s="1">
        <v>0</v>
      </c>
      <c r="AN29" s="37">
        <v>0</v>
      </c>
      <c r="AO29" s="1"/>
      <c r="AP29" s="42" t="s">
        <v>72</v>
      </c>
      <c r="AQ29" s="37">
        <v>0</v>
      </c>
      <c r="AR29" s="1">
        <v>3</v>
      </c>
      <c r="AS29" s="1">
        <v>5</v>
      </c>
      <c r="AT29" s="37">
        <v>0</v>
      </c>
      <c r="AU29" s="38">
        <v>0</v>
      </c>
      <c r="AV29" s="1" t="s">
        <v>48</v>
      </c>
      <c r="AW29" s="1" t="s">
        <v>48</v>
      </c>
      <c r="AX29" s="1"/>
      <c r="AY29" s="1"/>
    </row>
    <row r="30" spans="1:51" x14ac:dyDescent="0.25">
      <c r="A30" s="1" t="s">
        <v>93</v>
      </c>
      <c r="B30" s="1">
        <v>42</v>
      </c>
      <c r="C30" s="1">
        <v>1</v>
      </c>
      <c r="D30" s="1">
        <v>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44</v>
      </c>
      <c r="R30" s="1">
        <v>0</v>
      </c>
      <c r="S30" s="1">
        <v>12</v>
      </c>
      <c r="T30" s="1">
        <v>28</v>
      </c>
      <c r="U30" s="35">
        <v>1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 t="s">
        <v>37</v>
      </c>
      <c r="AJ30" s="1"/>
      <c r="AK30" s="36"/>
      <c r="AL30" s="1">
        <v>0</v>
      </c>
      <c r="AM30" s="1">
        <v>1</v>
      </c>
      <c r="AN30" s="37">
        <v>0.02</v>
      </c>
      <c r="AO30" s="1">
        <v>2</v>
      </c>
      <c r="AP30" s="1">
        <v>19</v>
      </c>
      <c r="AQ30" s="37">
        <v>0.5</v>
      </c>
      <c r="AR30" s="1">
        <v>9</v>
      </c>
      <c r="AS30" s="1">
        <v>4</v>
      </c>
      <c r="AT30" s="37">
        <v>0.22</v>
      </c>
      <c r="AU30" s="38">
        <v>0.13</v>
      </c>
      <c r="AV30" s="1" t="s">
        <v>94</v>
      </c>
      <c r="AW30" s="1" t="s">
        <v>54</v>
      </c>
      <c r="AX30" s="1">
        <v>14</v>
      </c>
      <c r="AY30" s="1">
        <v>7</v>
      </c>
    </row>
    <row r="31" spans="1:51" x14ac:dyDescent="0.25">
      <c r="A31" s="1" t="s">
        <v>95</v>
      </c>
      <c r="B31" s="1"/>
      <c r="C31" s="1"/>
      <c r="D31" s="1"/>
      <c r="E31" s="1"/>
      <c r="F31" s="1"/>
      <c r="G31" s="1"/>
      <c r="H31" s="1"/>
      <c r="I31" s="1"/>
      <c r="J31" s="1"/>
      <c r="K31" s="1">
        <v>1</v>
      </c>
      <c r="L31" s="1">
        <v>10</v>
      </c>
      <c r="M31" s="1">
        <v>17</v>
      </c>
      <c r="N31" s="1"/>
      <c r="O31" s="1"/>
      <c r="P31" s="1"/>
      <c r="Q31" s="1">
        <v>28</v>
      </c>
      <c r="R31" s="1">
        <v>28</v>
      </c>
      <c r="S31" s="1">
        <v>15</v>
      </c>
      <c r="T31" s="1">
        <v>9</v>
      </c>
      <c r="U31" s="35" t="s">
        <v>37</v>
      </c>
      <c r="V31" s="1"/>
      <c r="W31" s="1"/>
      <c r="X31" s="1"/>
      <c r="Y31" s="1"/>
      <c r="Z31" s="1"/>
      <c r="AA31" s="1"/>
      <c r="AB31" s="1"/>
      <c r="AC31" s="1"/>
      <c r="AD31" s="1"/>
      <c r="AE31" s="1">
        <v>2</v>
      </c>
      <c r="AF31" s="1">
        <v>1</v>
      </c>
      <c r="AG31" s="1"/>
      <c r="AH31" s="1"/>
      <c r="AI31" s="1" t="s">
        <v>37</v>
      </c>
      <c r="AJ31" s="1"/>
      <c r="AK31" s="36"/>
      <c r="AL31" s="1">
        <v>9</v>
      </c>
      <c r="AM31" s="1">
        <v>3</v>
      </c>
      <c r="AN31" s="37">
        <v>0.11</v>
      </c>
      <c r="AO31" s="1">
        <v>7</v>
      </c>
      <c r="AP31" s="1">
        <v>13</v>
      </c>
      <c r="AQ31" s="37">
        <v>0.43</v>
      </c>
      <c r="AR31" s="1">
        <v>35</v>
      </c>
      <c r="AS31" s="1">
        <v>24</v>
      </c>
      <c r="AT31" s="37">
        <v>0.2</v>
      </c>
      <c r="AU31" s="38">
        <v>0.02</v>
      </c>
      <c r="AV31" s="1" t="s">
        <v>42</v>
      </c>
      <c r="AW31" s="1" t="s">
        <v>96</v>
      </c>
      <c r="AX31" s="1">
        <v>17</v>
      </c>
      <c r="AY31" s="1">
        <v>17</v>
      </c>
    </row>
    <row r="32" spans="1:51" x14ac:dyDescent="0.25">
      <c r="A32" s="1" t="s">
        <v>97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>
        <v>1</v>
      </c>
      <c r="N32" s="1">
        <v>6</v>
      </c>
      <c r="O32" s="1">
        <v>9</v>
      </c>
      <c r="P32" s="1">
        <v>6</v>
      </c>
      <c r="Q32" s="1">
        <v>22</v>
      </c>
      <c r="R32" s="1">
        <v>22</v>
      </c>
      <c r="S32" s="1">
        <v>18</v>
      </c>
      <c r="T32" s="1">
        <v>10</v>
      </c>
      <c r="U32" s="35" t="s">
        <v>37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>
        <v>1</v>
      </c>
      <c r="AH32" s="1">
        <v>1</v>
      </c>
      <c r="AI32" s="1">
        <v>2</v>
      </c>
      <c r="AJ32" s="1">
        <v>2</v>
      </c>
      <c r="AK32" s="36">
        <v>1</v>
      </c>
      <c r="AL32" s="1">
        <v>6</v>
      </c>
      <c r="AM32" s="1">
        <v>4</v>
      </c>
      <c r="AN32" s="37">
        <v>0.18</v>
      </c>
      <c r="AO32" s="1">
        <v>8</v>
      </c>
      <c r="AP32" s="1">
        <v>11</v>
      </c>
      <c r="AQ32" s="37">
        <v>0.5</v>
      </c>
      <c r="AR32" s="1">
        <v>29</v>
      </c>
      <c r="AS32" s="1">
        <v>42</v>
      </c>
      <c r="AT32" s="37">
        <v>0.28000000000000003</v>
      </c>
      <c r="AU32" s="38">
        <v>0.01</v>
      </c>
      <c r="AV32" s="1" t="s">
        <v>98</v>
      </c>
      <c r="AW32" s="1" t="s">
        <v>56</v>
      </c>
      <c r="AX32" s="1">
        <v>10</v>
      </c>
      <c r="AY32" s="1">
        <v>21</v>
      </c>
    </row>
    <row r="33" spans="1:51" x14ac:dyDescent="0.25">
      <c r="A33" s="1" t="s">
        <v>99</v>
      </c>
      <c r="B33" s="1">
        <v>37</v>
      </c>
      <c r="C33" s="1"/>
      <c r="D33" s="1">
        <v>4</v>
      </c>
      <c r="E33" s="1">
        <v>36</v>
      </c>
      <c r="F33" s="1">
        <v>21</v>
      </c>
      <c r="G33" s="1">
        <v>37</v>
      </c>
      <c r="H33" s="1">
        <v>25</v>
      </c>
      <c r="I33" s="1">
        <v>16</v>
      </c>
      <c r="J33" s="1">
        <v>8</v>
      </c>
      <c r="K33" s="1">
        <v>6</v>
      </c>
      <c r="L33" s="1">
        <v>9</v>
      </c>
      <c r="M33" s="1">
        <v>6</v>
      </c>
      <c r="N33" s="1">
        <v>1</v>
      </c>
      <c r="O33" s="1"/>
      <c r="P33" s="1"/>
      <c r="Q33" s="1">
        <v>206</v>
      </c>
      <c r="R33" s="1">
        <v>108</v>
      </c>
      <c r="S33" s="44">
        <v>1</v>
      </c>
      <c r="T33" s="44">
        <v>1</v>
      </c>
      <c r="U33" s="35">
        <v>1</v>
      </c>
      <c r="V33" s="1"/>
      <c r="W33" s="1"/>
      <c r="X33" s="1"/>
      <c r="Y33" s="1">
        <v>2</v>
      </c>
      <c r="Z33" s="1">
        <v>6</v>
      </c>
      <c r="AA33" s="1">
        <v>4</v>
      </c>
      <c r="AB33" s="1">
        <v>1</v>
      </c>
      <c r="AC33" s="1"/>
      <c r="AD33" s="1">
        <v>2</v>
      </c>
      <c r="AE33" s="1">
        <v>1</v>
      </c>
      <c r="AF33" s="1">
        <v>1</v>
      </c>
      <c r="AG33" s="1"/>
      <c r="AH33" s="1"/>
      <c r="AI33" s="1" t="s">
        <v>37</v>
      </c>
      <c r="AJ33" s="1"/>
      <c r="AK33" s="36"/>
      <c r="AL33" s="1">
        <v>17</v>
      </c>
      <c r="AM33" s="1">
        <v>18</v>
      </c>
      <c r="AN33" s="37">
        <v>0.09</v>
      </c>
      <c r="AO33" s="1">
        <v>28</v>
      </c>
      <c r="AP33" s="45">
        <v>2</v>
      </c>
      <c r="AQ33" s="37">
        <v>0.64</v>
      </c>
      <c r="AR33" s="1">
        <v>117</v>
      </c>
      <c r="AS33" s="1">
        <v>66</v>
      </c>
      <c r="AT33" s="37">
        <v>0.24</v>
      </c>
      <c r="AU33" s="38">
        <v>0.01</v>
      </c>
      <c r="AV33" s="1" t="s">
        <v>100</v>
      </c>
      <c r="AW33" s="1" t="s">
        <v>101</v>
      </c>
      <c r="AX33" s="1">
        <v>12</v>
      </c>
      <c r="AY33" s="1">
        <v>11</v>
      </c>
    </row>
    <row r="34" spans="1:51" x14ac:dyDescent="0.25">
      <c r="A34" s="1" t="s">
        <v>102</v>
      </c>
      <c r="B34" s="1"/>
      <c r="C34" s="1"/>
      <c r="D34" s="1"/>
      <c r="E34" s="1"/>
      <c r="F34" s="1"/>
      <c r="G34" s="1">
        <v>2</v>
      </c>
      <c r="H34" s="1">
        <v>7</v>
      </c>
      <c r="I34" s="1">
        <v>5</v>
      </c>
      <c r="J34" s="1">
        <v>2</v>
      </c>
      <c r="K34" s="1"/>
      <c r="L34" s="1"/>
      <c r="M34" s="1"/>
      <c r="N34" s="1"/>
      <c r="O34" s="1"/>
      <c r="P34" s="1"/>
      <c r="Q34" s="1">
        <v>16</v>
      </c>
      <c r="R34" s="1">
        <v>16</v>
      </c>
      <c r="S34" s="1">
        <v>23</v>
      </c>
      <c r="T34" s="1">
        <v>13</v>
      </c>
      <c r="U34" s="35" t="s">
        <v>37</v>
      </c>
      <c r="V34" s="1"/>
      <c r="W34" s="1"/>
      <c r="X34" s="1"/>
      <c r="Y34" s="1"/>
      <c r="Z34" s="1"/>
      <c r="AA34" s="1"/>
      <c r="AB34" s="1">
        <v>1</v>
      </c>
      <c r="AC34" s="1"/>
      <c r="AD34" s="1"/>
      <c r="AE34" s="1"/>
      <c r="AF34" s="1"/>
      <c r="AG34" s="1"/>
      <c r="AH34" s="1"/>
      <c r="AI34" s="1" t="s">
        <v>37</v>
      </c>
      <c r="AJ34" s="1"/>
      <c r="AK34" s="36"/>
      <c r="AL34" s="1">
        <v>4</v>
      </c>
      <c r="AM34" s="1">
        <v>1</v>
      </c>
      <c r="AN34" s="37">
        <v>0.06</v>
      </c>
      <c r="AO34" s="1"/>
      <c r="AP34" s="42" t="s">
        <v>72</v>
      </c>
      <c r="AQ34" s="37">
        <v>0</v>
      </c>
      <c r="AR34" s="1">
        <v>22</v>
      </c>
      <c r="AS34" s="1">
        <v>9</v>
      </c>
      <c r="AT34" s="37">
        <v>0</v>
      </c>
      <c r="AU34" s="38">
        <v>0</v>
      </c>
      <c r="AV34" s="1" t="s">
        <v>48</v>
      </c>
      <c r="AW34" s="1" t="s">
        <v>48</v>
      </c>
      <c r="AX34" s="1"/>
      <c r="AY34" s="1"/>
    </row>
    <row r="35" spans="1:51" x14ac:dyDescent="0.25">
      <c r="A35" s="1" t="s">
        <v>103</v>
      </c>
      <c r="B35" s="1">
        <v>1</v>
      </c>
      <c r="C35" s="1"/>
      <c r="D35" s="1"/>
      <c r="E35" s="1"/>
      <c r="F35" s="1"/>
      <c r="G35" s="1"/>
      <c r="H35" s="1"/>
      <c r="I35" s="1">
        <v>2</v>
      </c>
      <c r="J35" s="1">
        <v>5</v>
      </c>
      <c r="K35" s="1">
        <v>2</v>
      </c>
      <c r="L35" s="1"/>
      <c r="M35" s="1"/>
      <c r="N35" s="1"/>
      <c r="O35" s="1">
        <v>7</v>
      </c>
      <c r="P35" s="1">
        <v>2</v>
      </c>
      <c r="Q35" s="1">
        <v>19</v>
      </c>
      <c r="R35" s="1">
        <v>18</v>
      </c>
      <c r="S35" s="1">
        <v>21</v>
      </c>
      <c r="T35" s="1">
        <v>11</v>
      </c>
      <c r="U35" s="35" t="s">
        <v>37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 t="s">
        <v>37</v>
      </c>
      <c r="AJ35" s="1"/>
      <c r="AK35" s="36"/>
      <c r="AL35" s="1">
        <v>4</v>
      </c>
      <c r="AM35" s="1">
        <v>0</v>
      </c>
      <c r="AN35" s="37">
        <v>0</v>
      </c>
      <c r="AO35" s="1">
        <v>6</v>
      </c>
      <c r="AP35" s="1">
        <v>14</v>
      </c>
      <c r="AQ35" s="37">
        <v>0</v>
      </c>
      <c r="AR35" s="1">
        <v>48</v>
      </c>
      <c r="AS35" s="1">
        <v>55</v>
      </c>
      <c r="AT35" s="37">
        <v>0.13</v>
      </c>
      <c r="AU35" s="38">
        <v>0</v>
      </c>
      <c r="AV35" s="1" t="s">
        <v>104</v>
      </c>
      <c r="AW35" s="1" t="s">
        <v>105</v>
      </c>
      <c r="AX35" s="1">
        <v>19</v>
      </c>
      <c r="AY35" s="1">
        <v>24</v>
      </c>
    </row>
    <row r="36" spans="1:51" x14ac:dyDescent="0.25">
      <c r="A36" s="1" t="s">
        <v>106</v>
      </c>
      <c r="B36" s="1">
        <v>41</v>
      </c>
      <c r="C36" s="1">
        <v>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>
        <v>42</v>
      </c>
      <c r="R36" s="1">
        <v>0</v>
      </c>
      <c r="S36" s="1">
        <v>13</v>
      </c>
      <c r="T36" s="1">
        <v>28</v>
      </c>
      <c r="U36" s="35" t="s">
        <v>37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 t="s">
        <v>37</v>
      </c>
      <c r="AJ36" s="1"/>
      <c r="AK36" s="36"/>
      <c r="AL36" s="1">
        <v>0</v>
      </c>
      <c r="AM36" s="1">
        <v>0</v>
      </c>
      <c r="AN36" s="37">
        <v>0</v>
      </c>
      <c r="AO36" s="1">
        <v>1</v>
      </c>
      <c r="AP36" s="1">
        <v>23</v>
      </c>
      <c r="AQ36" s="37">
        <v>0</v>
      </c>
      <c r="AR36" s="1">
        <v>4</v>
      </c>
      <c r="AS36" s="1">
        <v>3</v>
      </c>
      <c r="AT36" s="37">
        <v>0.25</v>
      </c>
      <c r="AU36" s="38">
        <v>0</v>
      </c>
      <c r="AV36" s="1" t="s">
        <v>107</v>
      </c>
      <c r="AW36" s="1" t="s">
        <v>67</v>
      </c>
      <c r="AX36" s="1">
        <v>11</v>
      </c>
      <c r="AY36" s="1">
        <v>15</v>
      </c>
    </row>
    <row r="37" spans="1:51" x14ac:dyDescent="0.25">
      <c r="A37" s="1" t="s">
        <v>108</v>
      </c>
      <c r="B37" s="1"/>
      <c r="C37" s="1"/>
      <c r="D37" s="1"/>
      <c r="E37" s="1"/>
      <c r="F37" s="1"/>
      <c r="G37" s="1"/>
      <c r="H37" s="1">
        <v>1</v>
      </c>
      <c r="I37" s="1"/>
      <c r="J37" s="1"/>
      <c r="K37" s="1">
        <v>3</v>
      </c>
      <c r="L37" s="1">
        <v>2</v>
      </c>
      <c r="M37" s="1">
        <v>1</v>
      </c>
      <c r="N37" s="1">
        <v>7</v>
      </c>
      <c r="O37" s="1"/>
      <c r="P37" s="1"/>
      <c r="Q37" s="1">
        <v>14</v>
      </c>
      <c r="R37" s="1">
        <v>14</v>
      </c>
      <c r="S37" s="1">
        <v>24</v>
      </c>
      <c r="T37" s="1">
        <v>14</v>
      </c>
      <c r="U37" s="35" t="s">
        <v>37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 t="s">
        <v>37</v>
      </c>
      <c r="AJ37" s="1"/>
      <c r="AK37" s="36"/>
      <c r="AL37" s="1">
        <v>3</v>
      </c>
      <c r="AM37" s="1">
        <v>0</v>
      </c>
      <c r="AN37" s="37">
        <v>0</v>
      </c>
      <c r="AO37" s="1">
        <v>6</v>
      </c>
      <c r="AP37" s="1">
        <v>14</v>
      </c>
      <c r="AQ37" s="37">
        <v>0</v>
      </c>
      <c r="AR37" s="1">
        <v>29</v>
      </c>
      <c r="AS37" s="1">
        <v>36</v>
      </c>
      <c r="AT37" s="37">
        <v>0.21</v>
      </c>
      <c r="AU37" s="38">
        <v>0</v>
      </c>
      <c r="AV37" s="1" t="s">
        <v>109</v>
      </c>
      <c r="AW37" s="1" t="s">
        <v>110</v>
      </c>
      <c r="AX37" s="1">
        <v>15</v>
      </c>
      <c r="AY37" s="1">
        <v>22</v>
      </c>
    </row>
    <row r="38" spans="1:51" x14ac:dyDescent="0.25">
      <c r="A38" s="1" t="s">
        <v>111</v>
      </c>
      <c r="B38" s="1">
        <v>1</v>
      </c>
      <c r="C38" s="1"/>
      <c r="D38" s="1">
        <v>4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>
        <v>5</v>
      </c>
      <c r="R38" s="1">
        <v>0</v>
      </c>
      <c r="S38" s="1">
        <v>31</v>
      </c>
      <c r="T38" s="1">
        <v>28</v>
      </c>
      <c r="U38" s="35">
        <v>1</v>
      </c>
      <c r="V38" s="1"/>
      <c r="W38" s="1">
        <v>4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 t="s">
        <v>37</v>
      </c>
      <c r="AJ38" s="1"/>
      <c r="AK38" s="36"/>
      <c r="AL38" s="1">
        <v>0</v>
      </c>
      <c r="AM38" s="1">
        <v>5</v>
      </c>
      <c r="AN38" s="37">
        <v>1</v>
      </c>
      <c r="AO38" s="1">
        <v>6</v>
      </c>
      <c r="AP38" s="1">
        <v>14</v>
      </c>
      <c r="AQ38" s="37">
        <v>0.83</v>
      </c>
      <c r="AR38" s="1">
        <v>5</v>
      </c>
      <c r="AS38" s="1">
        <v>9</v>
      </c>
      <c r="AT38" s="37">
        <v>1.2</v>
      </c>
      <c r="AU38" s="38">
        <v>0.09</v>
      </c>
      <c r="AV38" s="1" t="s">
        <v>112</v>
      </c>
      <c r="AW38" s="1" t="s">
        <v>113</v>
      </c>
      <c r="AX38" s="1"/>
      <c r="AY38" s="1">
        <v>2</v>
      </c>
    </row>
    <row r="39" spans="1:51" x14ac:dyDescent="0.25">
      <c r="A39" s="1" t="s">
        <v>114</v>
      </c>
      <c r="B39" s="1">
        <v>83</v>
      </c>
      <c r="C39" s="1">
        <v>7</v>
      </c>
      <c r="D39" s="1">
        <v>11</v>
      </c>
      <c r="E39" s="1">
        <v>6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>
        <v>107</v>
      </c>
      <c r="R39" s="1">
        <v>0</v>
      </c>
      <c r="S39" s="39">
        <v>4</v>
      </c>
      <c r="T39" s="1">
        <v>28</v>
      </c>
      <c r="U39" s="35" t="s">
        <v>37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 t="s">
        <v>37</v>
      </c>
      <c r="AJ39" s="1"/>
      <c r="AK39" s="36"/>
      <c r="AL39" s="1">
        <v>6</v>
      </c>
      <c r="AM39" s="1">
        <v>0</v>
      </c>
      <c r="AN39" s="37">
        <v>0</v>
      </c>
      <c r="AO39" s="1"/>
      <c r="AP39" s="42" t="s">
        <v>72</v>
      </c>
      <c r="AQ39" s="37">
        <v>0</v>
      </c>
      <c r="AR39" s="1">
        <v>1</v>
      </c>
      <c r="AS39" s="1">
        <v>6</v>
      </c>
      <c r="AT39" s="37">
        <v>0</v>
      </c>
      <c r="AU39" s="38">
        <v>0</v>
      </c>
      <c r="AV39" s="1" t="s">
        <v>48</v>
      </c>
      <c r="AW39" s="1" t="s">
        <v>48</v>
      </c>
      <c r="AX39" s="1"/>
      <c r="AY39" s="1"/>
    </row>
    <row r="40" spans="1:51" x14ac:dyDescent="0.25">
      <c r="A40" s="1" t="s">
        <v>115</v>
      </c>
      <c r="B40" s="1">
        <v>2</v>
      </c>
      <c r="C40" s="1"/>
      <c r="D40" s="1">
        <v>11</v>
      </c>
      <c r="E40" s="1">
        <v>17</v>
      </c>
      <c r="F40" s="1">
        <v>7</v>
      </c>
      <c r="G40" s="1">
        <v>19</v>
      </c>
      <c r="H40" s="1">
        <v>11</v>
      </c>
      <c r="I40" s="1">
        <v>5</v>
      </c>
      <c r="J40" s="1">
        <v>2</v>
      </c>
      <c r="K40" s="1">
        <v>4</v>
      </c>
      <c r="L40" s="1">
        <v>6</v>
      </c>
      <c r="M40" s="1">
        <v>13</v>
      </c>
      <c r="N40" s="1">
        <v>12</v>
      </c>
      <c r="O40" s="1">
        <v>13</v>
      </c>
      <c r="P40" s="1">
        <v>6</v>
      </c>
      <c r="Q40" s="1">
        <v>128</v>
      </c>
      <c r="R40" s="1">
        <v>91</v>
      </c>
      <c r="S40" s="45">
        <v>2</v>
      </c>
      <c r="T40" s="45">
        <v>2</v>
      </c>
      <c r="U40" s="35" t="s">
        <v>37</v>
      </c>
      <c r="V40" s="1"/>
      <c r="W40" s="1">
        <v>1</v>
      </c>
      <c r="X40" s="1"/>
      <c r="Y40" s="1"/>
      <c r="Z40" s="1">
        <v>1</v>
      </c>
      <c r="AA40" s="1">
        <v>1</v>
      </c>
      <c r="AB40" s="1">
        <v>1</v>
      </c>
      <c r="AC40" s="1"/>
      <c r="AD40" s="1"/>
      <c r="AE40" s="1">
        <v>1</v>
      </c>
      <c r="AF40" s="1">
        <v>3</v>
      </c>
      <c r="AG40" s="1">
        <v>3</v>
      </c>
      <c r="AH40" s="1">
        <v>2</v>
      </c>
      <c r="AI40" s="1">
        <v>1</v>
      </c>
      <c r="AJ40" s="1">
        <v>2</v>
      </c>
      <c r="AK40" s="36"/>
      <c r="AL40" s="1">
        <v>10</v>
      </c>
      <c r="AM40" s="1">
        <v>14</v>
      </c>
      <c r="AN40" s="37">
        <v>0.11</v>
      </c>
      <c r="AO40" s="1">
        <v>36</v>
      </c>
      <c r="AP40" s="46">
        <v>1</v>
      </c>
      <c r="AQ40" s="37">
        <v>0.39</v>
      </c>
      <c r="AR40" s="1">
        <v>123</v>
      </c>
      <c r="AS40" s="1">
        <v>75</v>
      </c>
      <c r="AT40" s="37">
        <v>0.28999999999999998</v>
      </c>
      <c r="AU40" s="38">
        <v>0.01</v>
      </c>
      <c r="AV40" s="1" t="s">
        <v>116</v>
      </c>
      <c r="AW40" s="1" t="s">
        <v>68</v>
      </c>
      <c r="AX40" s="1">
        <v>8</v>
      </c>
      <c r="AY40" s="1">
        <v>9</v>
      </c>
    </row>
    <row r="41" spans="1:51" x14ac:dyDescent="0.25">
      <c r="A41" s="1" t="s">
        <v>117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>
        <v>3</v>
      </c>
      <c r="Q41" s="1">
        <v>3</v>
      </c>
      <c r="R41" s="1">
        <v>3</v>
      </c>
      <c r="S41" s="1">
        <v>34</v>
      </c>
      <c r="T41" s="1">
        <v>21</v>
      </c>
      <c r="U41" s="35" t="s">
        <v>37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 t="s">
        <v>37</v>
      </c>
      <c r="AJ41" s="1">
        <v>1</v>
      </c>
      <c r="AK41" s="36"/>
      <c r="AL41" s="1">
        <v>3</v>
      </c>
      <c r="AM41" s="1">
        <v>0</v>
      </c>
      <c r="AN41" s="37">
        <v>0</v>
      </c>
      <c r="AO41" s="1"/>
      <c r="AP41" s="42" t="s">
        <v>72</v>
      </c>
      <c r="AQ41" s="37">
        <v>0</v>
      </c>
      <c r="AR41" s="1">
        <v>3</v>
      </c>
      <c r="AS41" s="1">
        <v>2</v>
      </c>
      <c r="AT41" s="37">
        <v>0</v>
      </c>
      <c r="AU41" s="38">
        <v>0</v>
      </c>
      <c r="AV41" s="1" t="s">
        <v>48</v>
      </c>
      <c r="AW41" s="1" t="s">
        <v>48</v>
      </c>
      <c r="AX41" s="1"/>
      <c r="AY41" s="1"/>
    </row>
    <row r="42" spans="1:51" x14ac:dyDescent="0.25">
      <c r="A42" s="1" t="s">
        <v>118</v>
      </c>
      <c r="B42" s="1"/>
      <c r="C42" s="1"/>
      <c r="D42" s="1"/>
      <c r="E42" s="1"/>
      <c r="F42" s="1"/>
      <c r="G42" s="1"/>
      <c r="H42" s="1"/>
      <c r="I42" s="1">
        <v>1</v>
      </c>
      <c r="J42" s="1"/>
      <c r="K42" s="1"/>
      <c r="L42" s="1"/>
      <c r="M42" s="1"/>
      <c r="N42" s="1"/>
      <c r="O42" s="1"/>
      <c r="P42" s="1"/>
      <c r="Q42" s="1">
        <v>1</v>
      </c>
      <c r="R42" s="1">
        <v>1</v>
      </c>
      <c r="S42" s="1">
        <v>38</v>
      </c>
      <c r="T42" s="1">
        <v>27</v>
      </c>
      <c r="U42" s="35" t="s">
        <v>37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 t="s">
        <v>37</v>
      </c>
      <c r="AJ42" s="1"/>
      <c r="AK42" s="36"/>
      <c r="AL42" s="1">
        <v>1</v>
      </c>
      <c r="AM42" s="1">
        <v>0</v>
      </c>
      <c r="AN42" s="37">
        <v>0</v>
      </c>
      <c r="AO42" s="1"/>
      <c r="AP42" s="42" t="s">
        <v>72</v>
      </c>
      <c r="AQ42" s="37">
        <v>0</v>
      </c>
      <c r="AR42" s="1">
        <v>0</v>
      </c>
      <c r="AS42" s="1"/>
      <c r="AT42" s="1"/>
      <c r="AU42" s="47"/>
      <c r="AV42" s="1" t="s">
        <v>48</v>
      </c>
      <c r="AW42" s="1" t="s">
        <v>48</v>
      </c>
      <c r="AX42" s="1"/>
      <c r="AY42" s="1"/>
    </row>
    <row r="43" spans="1:51" x14ac:dyDescent="0.25">
      <c r="A43" s="1" t="s">
        <v>119</v>
      </c>
      <c r="B43" s="1">
        <v>4</v>
      </c>
      <c r="C43" s="1">
        <v>3</v>
      </c>
      <c r="D43" s="1"/>
      <c r="E43" s="1">
        <v>1</v>
      </c>
      <c r="F43" s="1">
        <v>2</v>
      </c>
      <c r="G43" s="1"/>
      <c r="H43" s="1"/>
      <c r="I43" s="1">
        <v>2</v>
      </c>
      <c r="J43" s="1"/>
      <c r="K43" s="1"/>
      <c r="L43" s="1"/>
      <c r="M43" s="1">
        <v>1</v>
      </c>
      <c r="N43" s="1">
        <v>1</v>
      </c>
      <c r="O43" s="1">
        <v>11</v>
      </c>
      <c r="P43" s="1">
        <v>3</v>
      </c>
      <c r="Q43" s="1">
        <v>28</v>
      </c>
      <c r="R43" s="1">
        <v>18</v>
      </c>
      <c r="S43" s="1">
        <v>15</v>
      </c>
      <c r="T43" s="1">
        <v>11</v>
      </c>
      <c r="U43" s="35" t="s">
        <v>37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>
        <v>3</v>
      </c>
      <c r="AI43" s="1" t="s">
        <v>37</v>
      </c>
      <c r="AJ43" s="1">
        <v>3</v>
      </c>
      <c r="AK43" s="36"/>
      <c r="AL43" s="1">
        <v>3</v>
      </c>
      <c r="AM43" s="1">
        <v>3</v>
      </c>
      <c r="AN43" s="37">
        <v>0.11</v>
      </c>
      <c r="AO43" s="1">
        <v>21</v>
      </c>
      <c r="AP43" s="1">
        <v>4</v>
      </c>
      <c r="AQ43" s="37">
        <v>0.14000000000000001</v>
      </c>
      <c r="AR43" s="1">
        <v>46</v>
      </c>
      <c r="AS43" s="1">
        <v>57</v>
      </c>
      <c r="AT43" s="37">
        <v>0.46</v>
      </c>
      <c r="AU43" s="38">
        <v>0</v>
      </c>
      <c r="AV43" s="1" t="s">
        <v>120</v>
      </c>
      <c r="AW43" s="1" t="s">
        <v>121</v>
      </c>
      <c r="AX43" s="1">
        <v>4</v>
      </c>
      <c r="AY43" s="1">
        <v>13</v>
      </c>
    </row>
  </sheetData>
  <mergeCells count="18">
    <mergeCell ref="AT2:AT3"/>
    <mergeCell ref="AU2:AU3"/>
    <mergeCell ref="AV2:AV3"/>
    <mergeCell ref="AW2:AW3"/>
    <mergeCell ref="AX2:AX3"/>
    <mergeCell ref="AY2:AY3"/>
    <mergeCell ref="AN2:AN3"/>
    <mergeCell ref="AO2:AO3"/>
    <mergeCell ref="AP2:AP3"/>
    <mergeCell ref="AQ2:AQ3"/>
    <mergeCell ref="AR2:AR3"/>
    <mergeCell ref="AS2:AS3"/>
    <mergeCell ref="B1:L1"/>
    <mergeCell ref="M1:P1"/>
    <mergeCell ref="U1:AF1"/>
    <mergeCell ref="AG1:AI1"/>
    <mergeCell ref="AL2:AL3"/>
    <mergeCell ref="AM2:A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Garcia Suarez</dc:creator>
  <cp:lastModifiedBy>Alfredo Garcia Suarez</cp:lastModifiedBy>
  <dcterms:created xsi:type="dcterms:W3CDTF">2026-08-18T04:14:33Z</dcterms:created>
  <dcterms:modified xsi:type="dcterms:W3CDTF">2026-08-18T04:15:23Z</dcterms:modified>
</cp:coreProperties>
</file>